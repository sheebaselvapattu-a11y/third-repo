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CA\"/>
    </mc:Choice>
  </mc:AlternateContent>
  <bookViews>
    <workbookView xWindow="0" yWindow="0" windowWidth="6912" windowHeight="1728"/>
  </bookViews>
  <sheets>
    <sheet name="Session Count" sheetId="1" r:id="rId1"/>
    <sheet name="Payment details" sheetId="2" r:id="rId2"/>
    <sheet name="Bank details of faculties" sheetId="3" r:id="rId3"/>
  </sheets>
  <definedNames>
    <definedName name="_xlnm._FilterDatabase" localSheetId="0" hidden="1">'Session Count'!$A$5:$N$45</definedName>
  </definedNames>
  <calcPr calcId="152511"/>
  <extLst>
    <ext uri="GoogleSheetsCustomDataVersion2">
      <go:sheetsCustomData xmlns:go="http://customooxmlschemas.google.com/" r:id="rId7" roundtripDataChecksum="fDBwNJu7udwp8DCO+D51EqBjY0OuI3Nuy79Sj6y1l0M="/>
    </ext>
  </extLst>
</workbook>
</file>

<file path=xl/calcChain.xml><?xml version="1.0" encoding="utf-8"?>
<calcChain xmlns="http://schemas.openxmlformats.org/spreadsheetml/2006/main">
  <c r="M22" i="1" l="1"/>
  <c r="E4" i="2" l="1"/>
  <c r="F4" i="2" l="1"/>
  <c r="G4" i="2" s="1"/>
  <c r="E6" i="2"/>
  <c r="F6" i="2" s="1"/>
  <c r="G6" i="2" l="1"/>
</calcChain>
</file>

<file path=xl/sharedStrings.xml><?xml version="1.0" encoding="utf-8"?>
<sst xmlns="http://schemas.openxmlformats.org/spreadsheetml/2006/main" count="86" uniqueCount="56">
  <si>
    <t>Sl.No.</t>
  </si>
  <si>
    <t xml:space="preserve">Faculty Name </t>
  </si>
  <si>
    <t>Program</t>
  </si>
  <si>
    <t>Subject</t>
  </si>
  <si>
    <t>Batch</t>
  </si>
  <si>
    <t>Semester</t>
  </si>
  <si>
    <t>Date</t>
  </si>
  <si>
    <t>Section</t>
  </si>
  <si>
    <t>Time</t>
  </si>
  <si>
    <t xml:space="preserve">Duration
</t>
  </si>
  <si>
    <t>Total No. of Classes/ hours taken</t>
  </si>
  <si>
    <t>In</t>
  </si>
  <si>
    <t>Out</t>
  </si>
  <si>
    <t>BCA</t>
  </si>
  <si>
    <t xml:space="preserve">Date: </t>
  </si>
  <si>
    <t>Authorising Authority</t>
  </si>
  <si>
    <t>Campus</t>
  </si>
  <si>
    <t>LOGO</t>
  </si>
  <si>
    <t>Sl.No</t>
  </si>
  <si>
    <t>Name</t>
  </si>
  <si>
    <t xml:space="preserve">Total Hours of class Taken </t>
  </si>
  <si>
    <t>Amount 
Paying per Hour/class</t>
  </si>
  <si>
    <t>Total Amount</t>
  </si>
  <si>
    <t>TDS (10%)</t>
  </si>
  <si>
    <t>Total Amount
after TDS</t>
  </si>
  <si>
    <t>Total</t>
  </si>
  <si>
    <t>Sl No</t>
  </si>
  <si>
    <t>Faculty Name</t>
  </si>
  <si>
    <t>Bank Account Number</t>
  </si>
  <si>
    <t>IFSC Code</t>
  </si>
  <si>
    <t>Bank Name</t>
  </si>
  <si>
    <t>PAN Number</t>
  </si>
  <si>
    <t>Total Hours</t>
  </si>
  <si>
    <t>Program Co Ordinator</t>
  </si>
  <si>
    <t>Signature of the HOD</t>
  </si>
  <si>
    <t>Signature of the Dy. Director</t>
  </si>
  <si>
    <t>Signature of the Director</t>
  </si>
  <si>
    <t>Branch</t>
  </si>
  <si>
    <t>Payment for Visiting Faculty for the Month of May 2025</t>
  </si>
  <si>
    <t>Date: 05.08.2025</t>
  </si>
  <si>
    <t>Ms.sheeba selvapattu</t>
  </si>
  <si>
    <t>Problem Solving Technique</t>
  </si>
  <si>
    <t>2025-2028</t>
  </si>
  <si>
    <t>PST</t>
  </si>
  <si>
    <t>BCA C</t>
  </si>
  <si>
    <t>PST LAB</t>
  </si>
  <si>
    <t>Mr. Sheeba Selvapattu</t>
  </si>
  <si>
    <t xml:space="preserve">Sheeba Selvapattu </t>
  </si>
  <si>
    <t xml:space="preserve"> HDFC0004367</t>
  </si>
  <si>
    <t>HDFC</t>
  </si>
  <si>
    <t>BDJPJ 6837M</t>
  </si>
  <si>
    <t xml:space="preserve">HRBR layout Bengaluru </t>
  </si>
  <si>
    <t xml:space="preserve">  11:40:00</t>
  </si>
  <si>
    <t>pratical</t>
  </si>
  <si>
    <t>theory</t>
  </si>
  <si>
    <t>Session Count of  Visiting Faculty for the month of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</si>
</sst>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&quot;:&quot;mm"/>
  </numFmts>
  <fonts count="28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name val="Arial"/>
      <family val="2"/>
    </font>
    <font>
      <sz val="12"/>
      <color theme="1"/>
      <name val="Calibri"/>
      <family val="2"/>
    </font>
    <font>
      <sz val="2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2"/>
      <name val="Arial"/>
      <family val="2"/>
      <scheme val="minor"/>
    </font>
    <font>
      <b/>
      <sz val="14"/>
      <name val="Arial"/>
      <family val="2"/>
      <scheme val="minor"/>
    </font>
    <font>
      <sz val="9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name val="Arial"/>
      <family val="2"/>
      <scheme val="minor"/>
    </font>
    <font>
      <b/>
      <sz val="12"/>
      <color theme="1"/>
      <name val="Cambria"/>
      <family val="1"/>
    </font>
    <font>
      <b/>
      <sz val="10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1"/>
      <name val="Arial"/>
      <family val="2"/>
      <scheme val="minor"/>
    </font>
    <font>
      <sz val="8"/>
      <name val="Arial"/>
      <scheme val="minor"/>
    </font>
    <font>
      <b/>
      <sz val="9"/>
      <name val="Arial"/>
      <family val="2"/>
      <scheme val="minor"/>
    </font>
    <font>
      <sz val="1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EABAB"/>
        <bgColor rgb="FFAEABAB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9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horizontal="center" vertical="center"/>
    </xf>
    <xf numFmtId="2" fontId="6" fillId="0" borderId="0" xfId="0" applyNumberFormat="1" applyFont="1"/>
    <xf numFmtId="0" fontId="9" fillId="0" borderId="3" xfId="0" applyFont="1" applyBorder="1" applyAlignment="1">
      <alignment vertical="center"/>
    </xf>
    <xf numFmtId="1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" fontId="6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9" fillId="0" borderId="0" xfId="0" applyFont="1"/>
    <xf numFmtId="0" fontId="12" fillId="0" borderId="0" xfId="0" applyFont="1"/>
    <xf numFmtId="0" fontId="16" fillId="0" borderId="0" xfId="1" applyFont="1"/>
    <xf numFmtId="0" fontId="16" fillId="0" borderId="0" xfId="1" applyFont="1" applyAlignment="1">
      <alignment horizontal="center"/>
    </xf>
    <xf numFmtId="0" fontId="16" fillId="0" borderId="0" xfId="1" applyFont="1" applyAlignment="1">
      <alignment wrapText="1"/>
    </xf>
    <xf numFmtId="0" fontId="18" fillId="0" borderId="0" xfId="1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0" xfId="0" applyFont="1"/>
    <xf numFmtId="0" fontId="10" fillId="0" borderId="0" xfId="0" applyFont="1" applyAlignment="1">
      <alignment vertical="center"/>
    </xf>
    <xf numFmtId="0" fontId="10" fillId="4" borderId="5" xfId="0" applyFont="1" applyFill="1" applyBorder="1" applyAlignment="1">
      <alignment horizontal="center"/>
    </xf>
    <xf numFmtId="0" fontId="11" fillId="0" borderId="5" xfId="0" applyFont="1" applyBorder="1"/>
    <xf numFmtId="0" fontId="10" fillId="0" borderId="5" xfId="0" applyFont="1" applyBorder="1"/>
    <xf numFmtId="0" fontId="0" fillId="0" borderId="5" xfId="0" applyBorder="1"/>
    <xf numFmtId="0" fontId="13" fillId="0" borderId="5" xfId="0" applyFont="1" applyBorder="1"/>
    <xf numFmtId="0" fontId="13" fillId="0" borderId="5" xfId="0" quotePrefix="1" applyFont="1" applyBorder="1"/>
    <xf numFmtId="0" fontId="18" fillId="0" borderId="0" xfId="1" applyFont="1" applyAlignment="1">
      <alignment horizontal="center" vertical="center"/>
    </xf>
    <xf numFmtId="0" fontId="23" fillId="0" borderId="0" xfId="1" applyFont="1"/>
    <xf numFmtId="1" fontId="10" fillId="0" borderId="5" xfId="0" applyNumberFormat="1" applyFont="1" applyBorder="1" applyAlignment="1">
      <alignment horizontal="left" wrapText="1"/>
    </xf>
    <xf numFmtId="0" fontId="10" fillId="0" borderId="5" xfId="0" applyFont="1" applyBorder="1" applyAlignment="1">
      <alignment wrapText="1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1" applyFont="1" applyAlignment="1">
      <alignment horizontal="center" wrapText="1"/>
    </xf>
    <xf numFmtId="0" fontId="26" fillId="5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vertical="center"/>
    </xf>
    <xf numFmtId="14" fontId="19" fillId="6" borderId="6" xfId="1" applyNumberFormat="1" applyFont="1" applyFill="1" applyBorder="1" applyAlignment="1">
      <alignment horizontal="center" vertical="center"/>
    </xf>
    <xf numFmtId="0" fontId="16" fillId="0" borderId="6" xfId="1" applyFont="1" applyBorder="1" applyAlignment="1">
      <alignment horizontal="center" wrapText="1"/>
    </xf>
    <xf numFmtId="20" fontId="16" fillId="0" borderId="6" xfId="1" applyNumberFormat="1" applyFont="1" applyBorder="1" applyAlignment="1">
      <alignment horizontal="center"/>
    </xf>
    <xf numFmtId="20" fontId="16" fillId="0" borderId="5" xfId="1" applyNumberFormat="1" applyFont="1" applyBorder="1" applyAlignment="1">
      <alignment horizontal="center"/>
    </xf>
    <xf numFmtId="0" fontId="16" fillId="0" borderId="5" xfId="1" applyFont="1" applyBorder="1" applyAlignment="1">
      <alignment horizontal="center"/>
    </xf>
    <xf numFmtId="20" fontId="16" fillId="7" borderId="5" xfId="1" applyNumberFormat="1" applyFont="1" applyFill="1" applyBorder="1" applyAlignment="1">
      <alignment horizontal="center"/>
    </xf>
    <xf numFmtId="0" fontId="16" fillId="7" borderId="6" xfId="1" applyFont="1" applyFill="1" applyBorder="1" applyAlignment="1">
      <alignment horizontal="center" wrapText="1"/>
    </xf>
    <xf numFmtId="0" fontId="16" fillId="7" borderId="5" xfId="1" applyFont="1" applyFill="1" applyBorder="1" applyAlignment="1">
      <alignment horizontal="center" wrapText="1"/>
    </xf>
    <xf numFmtId="0" fontId="27" fillId="0" borderId="5" xfId="1" applyFont="1" applyBorder="1" applyAlignment="1">
      <alignment horizontal="center" vertical="center"/>
    </xf>
    <xf numFmtId="164" fontId="14" fillId="7" borderId="5" xfId="1" applyNumberFormat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/>
    </xf>
    <xf numFmtId="0" fontId="20" fillId="0" borderId="0" xfId="1" applyFont="1" applyAlignment="1">
      <alignment horizontal="center" vertical="center"/>
    </xf>
    <xf numFmtId="0" fontId="17" fillId="0" borderId="0" xfId="1" applyFont="1" applyAlignment="1">
      <alignment horizontal="center"/>
    </xf>
    <xf numFmtId="0" fontId="14" fillId="0" borderId="0" xfId="0" applyFont="1"/>
    <xf numFmtId="0" fontId="16" fillId="0" borderId="5" xfId="1" applyFont="1" applyBorder="1" applyAlignment="1">
      <alignment horizontal="center"/>
    </xf>
    <xf numFmtId="22" fontId="16" fillId="0" borderId="6" xfId="1" applyNumberFormat="1" applyFont="1" applyBorder="1" applyAlignment="1">
      <alignment horizontal="center"/>
    </xf>
    <xf numFmtId="0" fontId="16" fillId="0" borderId="6" xfId="1" applyFont="1" applyBorder="1" applyAlignment="1">
      <alignment horizontal="center" wrapText="1"/>
    </xf>
    <xf numFmtId="14" fontId="19" fillId="6" borderId="6" xfId="1" applyNumberFormat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/>
    </xf>
    <xf numFmtId="0" fontId="16" fillId="0" borderId="6" xfId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8" fillId="5" borderId="5" xfId="1" applyFont="1" applyFill="1" applyBorder="1" applyAlignment="1">
      <alignment horizontal="center" vertical="center"/>
    </xf>
    <xf numFmtId="0" fontId="1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/>
    </xf>
    <xf numFmtId="0" fontId="26" fillId="5" borderId="5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 wrapText="1"/>
    </xf>
    <xf numFmtId="0" fontId="19" fillId="2" borderId="8" xfId="1" applyFont="1" applyFill="1" applyBorder="1" applyAlignment="1">
      <alignment horizontal="center" vertical="center" wrapText="1"/>
    </xf>
    <xf numFmtId="0" fontId="19" fillId="2" borderId="6" xfId="1" applyFont="1" applyFill="1" applyBorder="1" applyAlignment="1">
      <alignment horizontal="center" vertical="center" wrapText="1"/>
    </xf>
    <xf numFmtId="0" fontId="19" fillId="2" borderId="7" xfId="1" applyFont="1" applyFill="1" applyBorder="1" applyAlignment="1">
      <alignment horizontal="center" vertical="center"/>
    </xf>
    <xf numFmtId="0" fontId="19" fillId="2" borderId="8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16" fillId="0" borderId="7" xfId="1" applyFont="1" applyBorder="1" applyAlignment="1">
      <alignment horizontal="center" wrapText="1"/>
    </xf>
    <xf numFmtId="0" fontId="16" fillId="0" borderId="6" xfId="1" applyFont="1" applyBorder="1" applyAlignment="1">
      <alignment horizontal="center" wrapText="1"/>
    </xf>
    <xf numFmtId="14" fontId="19" fillId="6" borderId="7" xfId="1" applyNumberFormat="1" applyFont="1" applyFill="1" applyBorder="1" applyAlignment="1">
      <alignment horizontal="center" vertical="center"/>
    </xf>
    <xf numFmtId="14" fontId="19" fillId="6" borderId="6" xfId="1" applyNumberFormat="1" applyFont="1" applyFill="1" applyBorder="1" applyAlignment="1">
      <alignment horizontal="center" vertical="center"/>
    </xf>
    <xf numFmtId="0" fontId="17" fillId="0" borderId="5" xfId="1" applyFont="1" applyBorder="1" applyAlignment="1">
      <alignment horizontal="center" vertical="center"/>
    </xf>
    <xf numFmtId="0" fontId="26" fillId="5" borderId="5" xfId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/>
    <xf numFmtId="0" fontId="8" fillId="0" borderId="4" xfId="0" applyFont="1" applyBorder="1" applyAlignment="1">
      <alignment horizontal="center" vertical="center"/>
    </xf>
    <xf numFmtId="0" fontId="5" fillId="0" borderId="4" xfId="0" applyFont="1" applyBorder="1"/>
    <xf numFmtId="0" fontId="9" fillId="0" borderId="1" xfId="0" applyFont="1" applyBorder="1" applyAlignment="1">
      <alignment horizontal="center" vertical="center"/>
    </xf>
    <xf numFmtId="0" fontId="5" fillId="0" borderId="2" xfId="0" applyFont="1" applyBorder="1"/>
    <xf numFmtId="0" fontId="9" fillId="0" borderId="0" xfId="0" applyFont="1" applyAlignment="1">
      <alignment horizontal="center" vertical="center"/>
    </xf>
    <xf numFmtId="14" fontId="19" fillId="6" borderId="9" xfId="1" applyNumberFormat="1" applyFont="1" applyFill="1" applyBorder="1" applyAlignment="1">
      <alignment horizontal="center" vertical="center"/>
    </xf>
    <xf numFmtId="0" fontId="16" fillId="0" borderId="10" xfId="1" applyFont="1" applyBorder="1" applyAlignment="1">
      <alignment horizontal="center" wrapText="1"/>
    </xf>
    <xf numFmtId="14" fontId="19" fillId="6" borderId="5" xfId="1" applyNumberFormat="1" applyFont="1" applyFill="1" applyBorder="1" applyAlignment="1">
      <alignment vertical="center"/>
    </xf>
    <xf numFmtId="20" fontId="16" fillId="0" borderId="6" xfId="1" applyNumberFormat="1" applyFont="1" applyBorder="1" applyAlignment="1">
      <alignment horizontal="center"/>
    </xf>
    <xf numFmtId="20" fontId="16" fillId="0" borderId="7" xfId="1" applyNumberFormat="1" applyFont="1" applyBorder="1" applyAlignment="1">
      <alignment horizontal="center"/>
    </xf>
    <xf numFmtId="14" fontId="19" fillId="6" borderId="5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91</xdr:row>
      <xdr:rowOff>0</xdr:rowOff>
    </xdr:from>
    <xdr:ext cx="9525" cy="9525"/>
    <xdr:pic>
      <xdr:nvPicPr>
        <xdr:cNvPr id="2" name="image2.gi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525" cy="9525"/>
    <xdr:pic>
      <xdr:nvPicPr>
        <xdr:cNvPr id="3" name="image2.gif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9525" cy="9525"/>
    <xdr:pic>
      <xdr:nvPicPr>
        <xdr:cNvPr id="4" name="image2.gif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5B90AD3-4CAB-4D7F-A699-771039FCE29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0419A00-EC66-4085-83CB-4B9823A33E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C5427B3-706B-4678-A91C-A70EDB688A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525" cy="9525"/>
    <xdr:pic>
      <xdr:nvPicPr>
        <xdr:cNvPr id="5" name="image2.gif">
          <a:extLst>
            <a:ext uri="{FF2B5EF4-FFF2-40B4-BE49-F238E27FC236}">
              <a16:creationId xmlns:a16="http://schemas.microsoft.com/office/drawing/2014/main" xmlns="" id="{66070B91-EF80-40F5-8D4F-19AA78690D2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525" cy="9525"/>
    <xdr:pic>
      <xdr:nvPicPr>
        <xdr:cNvPr id="10" name="image2.gif">
          <a:extLst>
            <a:ext uri="{FF2B5EF4-FFF2-40B4-BE49-F238E27FC236}">
              <a16:creationId xmlns:a16="http://schemas.microsoft.com/office/drawing/2014/main" xmlns="" id="{BB507BE3-92AD-4574-9105-75E5E0A761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9525" cy="9525"/>
    <xdr:pic>
      <xdr:nvPicPr>
        <xdr:cNvPr id="11" name="image2.gif">
          <a:extLst>
            <a:ext uri="{FF2B5EF4-FFF2-40B4-BE49-F238E27FC236}">
              <a16:creationId xmlns:a16="http://schemas.microsoft.com/office/drawing/2014/main" xmlns="" id="{F2EC8624-1DD6-47E4-95F5-171C66254AF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154990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1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4A81853-BEDF-4EF6-A737-296F3AA29BB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1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4E9E764-8778-4022-8BA0-DF3E584F21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1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0C39BC8-C03D-4A4E-880A-98A7A7AFAA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23698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525" cy="9525"/>
    <xdr:pic>
      <xdr:nvPicPr>
        <xdr:cNvPr id="1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5975EA23-DC89-45ED-AB28-DE3FE13DF91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525" cy="9525"/>
    <xdr:pic>
      <xdr:nvPicPr>
        <xdr:cNvPr id="1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0F880AC-CD2B-40B2-9092-4DCFD0F7C26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9525" cy="9525"/>
    <xdr:pic>
      <xdr:nvPicPr>
        <xdr:cNvPr id="1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270D41C-D86E-46CB-8F2F-BFEB4D36F08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339852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1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53BB98BC-4D2D-4AA3-BA0E-A065812014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2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460172F-B7E7-4012-806F-1878974892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2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EF3D1A8-2DAB-4193-943E-CF351CE6877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440" y="422148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1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51209A5-4051-47CE-9683-2AF359921C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49125C2-20D9-4D69-9602-C64601F2BF5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6784245-EDC4-4F9D-A6AF-1D765DE9C0D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93A177CA-37F9-4E6F-9280-DC19B1BD3A9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300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9525" cy="9525"/>
    <xdr:pic>
      <xdr:nvPicPr>
        <xdr:cNvPr id="2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414A8F3-57DE-4D76-B5EB-C1BA9601730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2942167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211667</xdr:rowOff>
    </xdr:from>
    <xdr:ext cx="9525" cy="9525"/>
    <xdr:pic>
      <xdr:nvPicPr>
        <xdr:cNvPr id="2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F7121744-E0FF-45A6-B2C1-076CD147902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339167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525" cy="9525"/>
    <xdr:pic>
      <xdr:nvPicPr>
        <xdr:cNvPr id="2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4FB81B84-6CD7-4B34-A09E-DB01A5BF14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525" cy="9525"/>
    <xdr:pic>
      <xdr:nvPicPr>
        <xdr:cNvPr id="2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92FB072-CCB8-403B-831A-8E353E40D7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9525" cy="9525"/>
    <xdr:pic>
      <xdr:nvPicPr>
        <xdr:cNvPr id="2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3B05EF7-61CC-4C80-8CFD-8117C306E5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92639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E6C5D53A-3B46-4CBF-B1A9-869A9911EA0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28918F9-AC89-402F-904C-81D44CBFD6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5B6EDEF-5A1B-4AED-8BE7-C0BC32FDED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A4373E0-CE63-43A8-8A5C-BE6509F3BF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E688374-A6D5-4E3C-97D4-147F46964FA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393EFE8-01E4-4459-B527-BDCC3E12F50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14441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4745DB4-E199-4FBF-9FA0-5139B27730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16C34A2C-466E-416D-89FB-49145ED7B9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3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E41CC488-98F1-40F9-9F62-1570CEA4FC7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14407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3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92E1C511-F0A6-49A6-873D-643C99DB63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F8E0EEF3-A68D-431E-B2CA-78401B33554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6BB9B86B-F9A4-41C9-BB1A-65CB8B6C92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BCD7FC26-AC16-416C-92AE-CEBE931724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9CEF1FE-C7DC-4342-9185-66D026BFB3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9525" cy="9525"/>
    <xdr:pic>
      <xdr:nvPicPr>
        <xdr:cNvPr id="4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1929572D-AF3B-4A34-96A0-6B6F69457E2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732389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5F0C093-EBB8-4A5D-91D8-B5A39667BB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7EF13027-A9F4-444D-A16F-7F28FBE845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E397CF8-8227-4F28-85BA-7EE9D27B99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6695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113D025E-0B9E-4F8A-A023-48CF46B546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4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5BDC14A7-6515-450E-9DDD-FE0CAD2192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776707E-5D1D-4568-B05E-CC8A3784263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39504056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582018E-FC70-45B3-82FD-427BC64CBEC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88E8A67-E5F7-40B6-A440-C89A73F233E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3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C8A0F36-54DC-4DF5-8112-0B16C470816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2474444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4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D1C2167E-A377-462E-9F4F-A553E201BA6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5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A7103EEA-B017-4430-B2F9-A52484AB4E8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1293CD9-9C23-499B-A053-878320E668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0096722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353B9267-BED0-4E25-9453-CF80AF92CB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20ABFBED-158D-4893-8088-524357FDA9A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59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650F1F9F-EFA9-4599-9BFE-5F5678854E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7032333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60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79265D8-5485-4A13-B276-693475B77C4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61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D9D1420-4322-483F-9B7D-9D94149DDA4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9525" cy="9525"/>
    <xdr:pic>
      <xdr:nvPicPr>
        <xdr:cNvPr id="62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A5BF008-28FC-43F2-9690-CF86D6F8582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2722" y="44654611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525" cy="9525"/>
    <xdr:pic>
      <xdr:nvPicPr>
        <xdr:cNvPr id="63" name="image2.gif">
          <a:extLst>
            <a:ext uri="{FF2B5EF4-FFF2-40B4-BE49-F238E27FC236}">
              <a16:creationId xmlns:a16="http://schemas.microsoft.com/office/drawing/2014/main" xmlns="" id="{5518CC1C-CF4F-4763-80D8-4A1E0CDDF8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525" cy="9525"/>
    <xdr:pic>
      <xdr:nvPicPr>
        <xdr:cNvPr id="64" name="image2.gif">
          <a:extLst>
            <a:ext uri="{FF2B5EF4-FFF2-40B4-BE49-F238E27FC236}">
              <a16:creationId xmlns:a16="http://schemas.microsoft.com/office/drawing/2014/main" xmlns="" id="{A87B4478-54AA-4F48-9C0D-624FD1F3E03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9525" cy="9525"/>
    <xdr:pic>
      <xdr:nvPicPr>
        <xdr:cNvPr id="65" name="image2.gif">
          <a:extLst>
            <a:ext uri="{FF2B5EF4-FFF2-40B4-BE49-F238E27FC236}">
              <a16:creationId xmlns:a16="http://schemas.microsoft.com/office/drawing/2014/main" xmlns="" id="{9550AD49-3B5E-4D28-98EB-F7B266F8EBB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20955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6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00A3AD68-CB9E-47C4-BD70-187129C75FF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7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C3D2E739-9007-4AF8-ADE1-010E234B9D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9525" cy="9525"/>
    <xdr:pic>
      <xdr:nvPicPr>
        <xdr:cNvPr id="68" name="image1.gif" descr="https://ssl.gstatic.com/ui/v1/icons/mail/images/cleardot.gif">
          <a:extLst>
            <a:ext uri="{FF2B5EF4-FFF2-40B4-BE49-F238E27FC236}">
              <a16:creationId xmlns:a16="http://schemas.microsoft.com/office/drawing/2014/main" xmlns="" id="{87FF925D-888F-411E-8145-49F15901EA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5124450"/>
          <a:ext cx="9525" cy="95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352426</xdr:colOff>
      <xdr:row>0</xdr:row>
      <xdr:rowOff>76203</xdr:rowOff>
    </xdr:from>
    <xdr:to>
      <xdr:col>7</xdr:col>
      <xdr:colOff>963083</xdr:colOff>
      <xdr:row>1</xdr:row>
      <xdr:rowOff>218717</xdr:rowOff>
    </xdr:to>
    <xdr:pic>
      <xdr:nvPicPr>
        <xdr:cNvPr id="69" name="Picture 68" descr="C:\Users\MAHANTESH PATIL\Downloads\jain logo 2.jpg">
          <a:extLst>
            <a:ext uri="{FF2B5EF4-FFF2-40B4-BE49-F238E27FC236}">
              <a16:creationId xmlns:a16="http://schemas.microsoft.com/office/drawing/2014/main" xmlns="" id="{9B25B663-1FD6-4D71-86E2-EBDAC29E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6259" y="76203"/>
          <a:ext cx="3616324" cy="745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9525" cy="9525"/>
    <xdr:pic>
      <xdr:nvPicPr>
        <xdr:cNvPr id="2" name="image2.gif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3" name="image2.gif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4" name="image2.gif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5" name="image2.gif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6" name="image2.gif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9525" cy="9525"/>
    <xdr:pic>
      <xdr:nvPicPr>
        <xdr:cNvPr id="7" name="image2.gif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1</xdr:colOff>
      <xdr:row>0</xdr:row>
      <xdr:rowOff>33500</xdr:rowOff>
    </xdr:from>
    <xdr:to>
      <xdr:col>3</xdr:col>
      <xdr:colOff>1308101</xdr:colOff>
      <xdr:row>1</xdr:row>
      <xdr:rowOff>95249</xdr:rowOff>
    </xdr:to>
    <xdr:pic>
      <xdr:nvPicPr>
        <xdr:cNvPr id="8" name="Picture 7" descr="C:\Users\MAHANTESH PATIL\Downloads\jain logo 2.jpg">
          <a:extLst>
            <a:ext uri="{FF2B5EF4-FFF2-40B4-BE49-F238E27FC236}">
              <a16:creationId xmlns:a16="http://schemas.microsoft.com/office/drawing/2014/main" xmlns="" id="{31800BEA-2FAB-4A12-99FB-8118476E2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33500"/>
          <a:ext cx="2495550" cy="544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"/>
  <sheetViews>
    <sheetView tabSelected="1" topLeftCell="C1" zoomScale="90" zoomScaleNormal="90" workbookViewId="0">
      <selection activeCell="O27" sqref="O27"/>
    </sheetView>
  </sheetViews>
  <sheetFormatPr defaultColWidth="8.19921875" defaultRowHeight="23.25" customHeight="1" x14ac:dyDescent="0.25"/>
  <cols>
    <col min="1" max="1" width="6.19921875" style="24" customWidth="1"/>
    <col min="2" max="2" width="13.3984375" style="24" customWidth="1"/>
    <col min="3" max="3" width="8.69921875" style="24" customWidth="1"/>
    <col min="4" max="4" width="13" style="26" customWidth="1"/>
    <col min="5" max="5" width="11.59765625" style="24" customWidth="1"/>
    <col min="6" max="6" width="10.3984375" style="25" customWidth="1"/>
    <col min="7" max="8" width="17.3984375" style="25" customWidth="1"/>
    <col min="9" max="9" width="14.19921875" style="44" customWidth="1"/>
    <col min="10" max="12" width="11" style="25" customWidth="1"/>
    <col min="13" max="13" width="9.69921875" style="25" customWidth="1"/>
    <col min="14" max="16384" width="8.19921875" style="24"/>
  </cols>
  <sheetData>
    <row r="1" spans="1:13" ht="47.25" customHeight="1" x14ac:dyDescent="0.25">
      <c r="D1"/>
    </row>
    <row r="3" spans="1:13" ht="17.399999999999999" x14ac:dyDescent="0.25">
      <c r="A3" s="84" t="s">
        <v>55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</row>
    <row r="4" spans="1:13" ht="23.25" customHeight="1" x14ac:dyDescent="0.25">
      <c r="A4" s="85" t="s">
        <v>0</v>
      </c>
      <c r="B4" s="85" t="s">
        <v>1</v>
      </c>
      <c r="C4" s="85" t="s">
        <v>2</v>
      </c>
      <c r="D4" s="73" t="s">
        <v>3</v>
      </c>
      <c r="E4" s="85" t="s">
        <v>4</v>
      </c>
      <c r="F4" s="85" t="s">
        <v>5</v>
      </c>
      <c r="G4" s="68" t="s">
        <v>6</v>
      </c>
      <c r="H4" s="68"/>
      <c r="I4" s="73" t="s">
        <v>7</v>
      </c>
      <c r="J4" s="85" t="s">
        <v>8</v>
      </c>
      <c r="K4" s="85"/>
      <c r="L4" s="73" t="s">
        <v>9</v>
      </c>
      <c r="M4" s="73" t="s">
        <v>10</v>
      </c>
    </row>
    <row r="5" spans="1:13" ht="23.25" customHeight="1" x14ac:dyDescent="0.25">
      <c r="A5" s="85"/>
      <c r="B5" s="85"/>
      <c r="C5" s="85"/>
      <c r="D5" s="73"/>
      <c r="E5" s="85"/>
      <c r="F5" s="85"/>
      <c r="G5" s="68"/>
      <c r="H5" s="68"/>
      <c r="I5" s="73"/>
      <c r="J5" s="45" t="s">
        <v>11</v>
      </c>
      <c r="K5" s="45" t="s">
        <v>12</v>
      </c>
      <c r="L5" s="73"/>
      <c r="M5" s="73"/>
    </row>
    <row r="6" spans="1:13" ht="15" x14ac:dyDescent="0.25">
      <c r="A6" s="46">
        <v>1</v>
      </c>
      <c r="B6" s="69" t="s">
        <v>40</v>
      </c>
      <c r="C6" s="71" t="s">
        <v>13</v>
      </c>
      <c r="D6" s="69" t="s">
        <v>41</v>
      </c>
      <c r="E6" s="74" t="s">
        <v>42</v>
      </c>
      <c r="F6" s="77">
        <v>1</v>
      </c>
      <c r="G6" s="47">
        <v>45964</v>
      </c>
      <c r="H6" s="47" t="s">
        <v>43</v>
      </c>
      <c r="I6" s="48" t="s">
        <v>44</v>
      </c>
      <c r="J6" s="49">
        <v>9.0277777777777776E-2</v>
      </c>
      <c r="K6" s="50">
        <v>0.15972222222222224</v>
      </c>
      <c r="L6" s="51">
        <v>50</v>
      </c>
      <c r="M6" s="61">
        <v>1</v>
      </c>
    </row>
    <row r="7" spans="1:13" ht="15" x14ac:dyDescent="0.25">
      <c r="A7" s="46"/>
      <c r="B7" s="70"/>
      <c r="C7" s="71"/>
      <c r="D7" s="70"/>
      <c r="E7" s="75"/>
      <c r="F7" s="78"/>
      <c r="G7" s="47">
        <v>45966</v>
      </c>
      <c r="H7" s="47" t="s">
        <v>43</v>
      </c>
      <c r="I7" s="48" t="s">
        <v>44</v>
      </c>
      <c r="J7" s="62" t="s">
        <v>52</v>
      </c>
      <c r="K7" s="50">
        <v>5.5555555555555552E-2</v>
      </c>
      <c r="L7" s="61">
        <v>100</v>
      </c>
      <c r="M7" s="61">
        <v>2</v>
      </c>
    </row>
    <row r="8" spans="1:13" ht="15" x14ac:dyDescent="0.25">
      <c r="A8" s="46">
        <v>2</v>
      </c>
      <c r="B8" s="70"/>
      <c r="C8" s="71"/>
      <c r="D8" s="70"/>
      <c r="E8" s="75"/>
      <c r="F8" s="78"/>
      <c r="G8" s="82">
        <v>45967</v>
      </c>
      <c r="H8" s="82" t="s">
        <v>45</v>
      </c>
      <c r="I8" s="80" t="s">
        <v>44</v>
      </c>
      <c r="J8" s="97">
        <v>9.0277777777777776E-2</v>
      </c>
      <c r="K8" s="97">
        <v>0.15972222222222224</v>
      </c>
      <c r="L8" s="65">
        <v>100</v>
      </c>
      <c r="M8" s="65">
        <v>2</v>
      </c>
    </row>
    <row r="9" spans="1:13" ht="15" x14ac:dyDescent="0.25">
      <c r="A9" s="46"/>
      <c r="B9" s="70"/>
      <c r="C9" s="71"/>
      <c r="D9" s="70"/>
      <c r="E9" s="75"/>
      <c r="F9" s="78"/>
      <c r="G9" s="83"/>
      <c r="H9" s="83"/>
      <c r="I9" s="81"/>
      <c r="J9" s="96"/>
      <c r="K9" s="96"/>
      <c r="L9" s="66"/>
      <c r="M9" s="66"/>
    </row>
    <row r="10" spans="1:13" ht="15" x14ac:dyDescent="0.25">
      <c r="A10" s="46">
        <v>3</v>
      </c>
      <c r="B10" s="70"/>
      <c r="C10" s="71"/>
      <c r="D10" s="70"/>
      <c r="E10" s="75"/>
      <c r="F10" s="78"/>
      <c r="G10" s="47">
        <v>45968</v>
      </c>
      <c r="H10" s="95" t="s">
        <v>45</v>
      </c>
      <c r="I10" s="48" t="s">
        <v>44</v>
      </c>
      <c r="J10" s="49">
        <v>9.0277777777777776E-2</v>
      </c>
      <c r="K10" s="50">
        <v>0.15972222222222224</v>
      </c>
      <c r="L10" s="51">
        <v>100</v>
      </c>
      <c r="M10" s="61">
        <v>2</v>
      </c>
    </row>
    <row r="11" spans="1:13" ht="15" x14ac:dyDescent="0.25">
      <c r="A11" s="46">
        <v>4</v>
      </c>
      <c r="B11" s="70"/>
      <c r="C11" s="71"/>
      <c r="D11" s="70"/>
      <c r="E11" s="75"/>
      <c r="F11" s="78"/>
      <c r="G11" s="93">
        <v>45971</v>
      </c>
      <c r="H11" s="98" t="s">
        <v>43</v>
      </c>
      <c r="I11" s="94" t="s">
        <v>44</v>
      </c>
      <c r="J11" s="49">
        <v>0.52083333333333337</v>
      </c>
      <c r="K11" s="50">
        <v>5.5555555555555552E-2</v>
      </c>
      <c r="L11" s="61">
        <v>50</v>
      </c>
      <c r="M11" s="61">
        <v>1</v>
      </c>
    </row>
    <row r="12" spans="1:13" ht="15" x14ac:dyDescent="0.25">
      <c r="A12" s="46">
        <v>5</v>
      </c>
      <c r="B12" s="70"/>
      <c r="C12" s="71"/>
      <c r="D12" s="70"/>
      <c r="E12" s="75"/>
      <c r="F12" s="78"/>
      <c r="G12" s="47">
        <v>45973</v>
      </c>
      <c r="H12" s="47" t="s">
        <v>43</v>
      </c>
      <c r="I12" s="48" t="s">
        <v>44</v>
      </c>
      <c r="J12" s="49">
        <v>9.0277777777777776E-2</v>
      </c>
      <c r="K12" s="50">
        <v>0.19444444444444445</v>
      </c>
      <c r="L12" s="61">
        <v>100</v>
      </c>
      <c r="M12" s="61">
        <v>2</v>
      </c>
    </row>
    <row r="13" spans="1:13" ht="32.4" customHeight="1" x14ac:dyDescent="0.25">
      <c r="A13" s="46">
        <v>6</v>
      </c>
      <c r="B13" s="70"/>
      <c r="C13" s="71"/>
      <c r="D13" s="70"/>
      <c r="E13" s="75"/>
      <c r="F13" s="78"/>
      <c r="G13" s="47">
        <v>45974</v>
      </c>
      <c r="H13" s="47" t="s">
        <v>45</v>
      </c>
      <c r="I13" s="48" t="s">
        <v>44</v>
      </c>
      <c r="J13" s="49">
        <v>9.0277777777777776E-2</v>
      </c>
      <c r="K13" s="50">
        <v>0.15972222222222224</v>
      </c>
      <c r="L13" s="61">
        <v>100</v>
      </c>
      <c r="M13" s="61">
        <v>2</v>
      </c>
    </row>
    <row r="14" spans="1:13" ht="39" customHeight="1" x14ac:dyDescent="0.25">
      <c r="A14" s="46">
        <v>7</v>
      </c>
      <c r="B14" s="70"/>
      <c r="C14" s="71"/>
      <c r="D14" s="70"/>
      <c r="E14" s="75"/>
      <c r="F14" s="78"/>
      <c r="G14" s="47">
        <v>45975</v>
      </c>
      <c r="H14" s="47" t="s">
        <v>45</v>
      </c>
      <c r="I14" s="48" t="s">
        <v>44</v>
      </c>
      <c r="J14" s="49">
        <v>9.0277777777777776E-2</v>
      </c>
      <c r="K14" s="50">
        <v>0.15972222222222224</v>
      </c>
      <c r="L14" s="61">
        <v>100</v>
      </c>
      <c r="M14" s="61">
        <v>2</v>
      </c>
    </row>
    <row r="15" spans="1:13" ht="20.399999999999999" customHeight="1" x14ac:dyDescent="0.25">
      <c r="A15" s="46"/>
      <c r="B15" s="70"/>
      <c r="C15" s="71"/>
      <c r="D15" s="70"/>
      <c r="E15" s="75"/>
      <c r="F15" s="78"/>
      <c r="G15" s="47">
        <v>45978</v>
      </c>
      <c r="H15" s="47" t="s">
        <v>43</v>
      </c>
      <c r="I15" s="48" t="s">
        <v>44</v>
      </c>
      <c r="J15" s="49">
        <v>0.52083333333333337</v>
      </c>
      <c r="K15" s="50">
        <v>5.5555555555555552E-2</v>
      </c>
      <c r="L15" s="61">
        <v>50</v>
      </c>
      <c r="M15" s="61">
        <v>1</v>
      </c>
    </row>
    <row r="16" spans="1:13" ht="15" x14ac:dyDescent="0.25">
      <c r="A16" s="46"/>
      <c r="B16" s="70"/>
      <c r="C16" s="71"/>
      <c r="D16" s="70"/>
      <c r="E16" s="75"/>
      <c r="F16" s="78"/>
      <c r="G16" s="47">
        <v>45981</v>
      </c>
      <c r="H16" s="47" t="s">
        <v>45</v>
      </c>
      <c r="I16" s="48" t="s">
        <v>44</v>
      </c>
      <c r="J16" s="49">
        <v>9.0277777777777776E-2</v>
      </c>
      <c r="K16" s="50">
        <v>0.15972222222222224</v>
      </c>
      <c r="L16" s="61">
        <v>100</v>
      </c>
      <c r="M16" s="61">
        <v>2</v>
      </c>
    </row>
    <row r="17" spans="1:16" ht="15" x14ac:dyDescent="0.25">
      <c r="A17" s="46">
        <v>8</v>
      </c>
      <c r="B17" s="70"/>
      <c r="C17" s="71"/>
      <c r="D17" s="70"/>
      <c r="E17" s="75"/>
      <c r="F17" s="78"/>
      <c r="G17" s="47">
        <v>45982</v>
      </c>
      <c r="H17" s="64" t="s">
        <v>43</v>
      </c>
      <c r="I17" s="48" t="s">
        <v>44</v>
      </c>
      <c r="J17" s="49">
        <v>9.0277777777777776E-2</v>
      </c>
      <c r="K17" s="50">
        <v>0.125</v>
      </c>
      <c r="L17" s="61">
        <v>50</v>
      </c>
      <c r="M17" s="61">
        <v>1</v>
      </c>
    </row>
    <row r="18" spans="1:16" ht="15" x14ac:dyDescent="0.25">
      <c r="A18" s="46"/>
      <c r="B18" s="70"/>
      <c r="C18" s="71"/>
      <c r="D18" s="70"/>
      <c r="E18" s="75"/>
      <c r="F18" s="78"/>
      <c r="G18" s="64">
        <v>45985</v>
      </c>
      <c r="H18" s="64" t="s">
        <v>43</v>
      </c>
      <c r="I18" s="63" t="s">
        <v>44</v>
      </c>
      <c r="J18" s="49">
        <v>0.52083333333333337</v>
      </c>
      <c r="K18" s="50">
        <v>5.5555555555555552E-2</v>
      </c>
      <c r="L18" s="61">
        <v>50</v>
      </c>
      <c r="M18" s="61">
        <v>1</v>
      </c>
    </row>
    <row r="19" spans="1:16" ht="15" x14ac:dyDescent="0.25">
      <c r="A19" s="46"/>
      <c r="B19" s="70"/>
      <c r="C19" s="71"/>
      <c r="D19" s="70"/>
      <c r="E19" s="75"/>
      <c r="F19" s="78"/>
      <c r="G19" s="64">
        <v>45987</v>
      </c>
      <c r="H19" s="64" t="s">
        <v>43</v>
      </c>
      <c r="I19" s="63" t="s">
        <v>44</v>
      </c>
      <c r="J19" s="49">
        <v>9.0277777777777776E-2</v>
      </c>
      <c r="K19" s="50">
        <v>0.15972222222222224</v>
      </c>
      <c r="L19" s="61">
        <v>100</v>
      </c>
      <c r="M19" s="61">
        <v>2</v>
      </c>
    </row>
    <row r="20" spans="1:16" ht="15" x14ac:dyDescent="0.25">
      <c r="A20" s="46"/>
      <c r="B20" s="70"/>
      <c r="C20" s="71"/>
      <c r="D20" s="70"/>
      <c r="E20" s="75"/>
      <c r="F20" s="78"/>
      <c r="G20" s="64">
        <v>45988</v>
      </c>
      <c r="H20" s="64" t="s">
        <v>45</v>
      </c>
      <c r="I20" s="63" t="s">
        <v>44</v>
      </c>
      <c r="J20" s="49">
        <v>9.0277777777777776E-2</v>
      </c>
      <c r="K20" s="50">
        <v>0.15972222222222224</v>
      </c>
      <c r="L20" s="61">
        <v>100</v>
      </c>
      <c r="M20" s="61">
        <v>2</v>
      </c>
    </row>
    <row r="21" spans="1:16" ht="15" x14ac:dyDescent="0.25">
      <c r="A21" s="46"/>
      <c r="B21" s="70"/>
      <c r="C21" s="71"/>
      <c r="D21" s="70"/>
      <c r="E21" s="75"/>
      <c r="F21" s="78"/>
      <c r="G21" s="64">
        <v>45989</v>
      </c>
      <c r="H21" s="64" t="s">
        <v>45</v>
      </c>
      <c r="I21" s="63" t="s">
        <v>44</v>
      </c>
      <c r="J21" s="49">
        <v>9.0277777777777776E-2</v>
      </c>
      <c r="K21" s="50">
        <v>0.15972222222222224</v>
      </c>
      <c r="L21" s="61">
        <v>100</v>
      </c>
      <c r="M21" s="61">
        <v>2</v>
      </c>
    </row>
    <row r="22" spans="1:16" ht="28.2" customHeight="1" x14ac:dyDescent="0.25">
      <c r="A22" s="46">
        <v>9</v>
      </c>
      <c r="B22" s="70"/>
      <c r="C22" s="71"/>
      <c r="D22" s="70"/>
      <c r="E22" s="75"/>
      <c r="F22" s="78"/>
      <c r="G22" s="64"/>
      <c r="H22" s="64"/>
      <c r="I22" s="63"/>
      <c r="J22" s="52"/>
      <c r="K22" s="52"/>
      <c r="L22" s="51" t="s">
        <v>25</v>
      </c>
      <c r="M22" s="51">
        <f>SUM(M6:M21)</f>
        <v>25</v>
      </c>
    </row>
    <row r="23" spans="1:16" ht="15" x14ac:dyDescent="0.25">
      <c r="A23" s="46"/>
      <c r="B23" s="70"/>
      <c r="C23" s="71"/>
      <c r="D23" s="70"/>
      <c r="E23" s="75"/>
      <c r="F23" s="78"/>
      <c r="G23" s="47"/>
      <c r="H23" s="64"/>
      <c r="I23" s="53"/>
      <c r="J23" s="52"/>
      <c r="K23" s="52"/>
      <c r="L23" s="61"/>
      <c r="M23" s="61"/>
      <c r="O23" s="24">
        <v>14</v>
      </c>
      <c r="P23" s="24" t="s">
        <v>53</v>
      </c>
    </row>
    <row r="24" spans="1:16" ht="15" x14ac:dyDescent="0.25">
      <c r="A24" s="46"/>
      <c r="B24" s="70"/>
      <c r="C24" s="71"/>
      <c r="D24" s="70"/>
      <c r="E24" s="75"/>
      <c r="F24" s="78"/>
      <c r="G24" s="64"/>
      <c r="H24" s="64"/>
      <c r="I24" s="53"/>
      <c r="J24" s="52"/>
      <c r="K24" s="52"/>
      <c r="L24" s="61"/>
      <c r="M24" s="61"/>
    </row>
    <row r="25" spans="1:16" ht="15" x14ac:dyDescent="0.25">
      <c r="A25" s="46"/>
      <c r="B25" s="70"/>
      <c r="C25" s="71"/>
      <c r="D25" s="70"/>
      <c r="E25" s="75"/>
      <c r="F25" s="78"/>
      <c r="G25" s="64"/>
      <c r="H25" s="64"/>
      <c r="I25" s="53"/>
      <c r="J25" s="52"/>
      <c r="K25" s="52"/>
      <c r="L25" s="61"/>
      <c r="M25" s="61"/>
    </row>
    <row r="26" spans="1:16" ht="15" x14ac:dyDescent="0.25">
      <c r="A26" s="46"/>
      <c r="B26" s="70"/>
      <c r="C26" s="71"/>
      <c r="D26" s="70"/>
      <c r="E26" s="75"/>
      <c r="F26" s="78"/>
      <c r="G26" s="64"/>
      <c r="H26" s="64"/>
      <c r="I26" s="53"/>
      <c r="J26" s="52"/>
      <c r="K26" s="52"/>
      <c r="L26" s="61"/>
      <c r="M26" s="61"/>
    </row>
    <row r="27" spans="1:16" ht="15" x14ac:dyDescent="0.25">
      <c r="A27" s="46"/>
      <c r="B27" s="70"/>
      <c r="C27" s="71"/>
      <c r="D27" s="70"/>
      <c r="E27" s="75"/>
      <c r="F27" s="78"/>
      <c r="G27" s="47"/>
      <c r="H27" s="47"/>
      <c r="I27" s="53"/>
      <c r="J27" s="52"/>
      <c r="K27" s="52"/>
      <c r="L27" s="51"/>
      <c r="M27" s="51"/>
      <c r="O27" s="24">
        <v>11</v>
      </c>
      <c r="P27" s="24" t="s">
        <v>54</v>
      </c>
    </row>
    <row r="28" spans="1:16" ht="15" x14ac:dyDescent="0.25">
      <c r="A28" s="46"/>
      <c r="B28" s="70"/>
      <c r="C28" s="71"/>
      <c r="D28" s="70"/>
      <c r="E28" s="76"/>
      <c r="F28" s="79"/>
      <c r="G28" s="47"/>
      <c r="H28" s="47"/>
      <c r="I28" s="54"/>
      <c r="J28" s="52"/>
      <c r="K28" s="52"/>
      <c r="L28" s="51"/>
      <c r="M28" s="51"/>
    </row>
    <row r="29" spans="1:16" ht="16.5" customHeight="1" x14ac:dyDescent="0.25">
      <c r="A29" s="46">
        <v>10</v>
      </c>
      <c r="B29" s="55"/>
      <c r="C29" s="55"/>
      <c r="D29" s="55"/>
      <c r="E29" s="55"/>
      <c r="F29" s="55"/>
      <c r="G29" s="72" t="s">
        <v>32</v>
      </c>
      <c r="H29" s="72"/>
      <c r="I29" s="72"/>
      <c r="J29" s="72"/>
      <c r="K29" s="72"/>
      <c r="L29" s="56"/>
      <c r="M29" s="57"/>
    </row>
    <row r="30" spans="1:16" ht="21" customHeight="1" x14ac:dyDescent="0.25">
      <c r="A30" s="55"/>
      <c r="B30" s="38"/>
      <c r="C30" s="38"/>
      <c r="D30" s="38"/>
      <c r="E30" s="38"/>
      <c r="F30" s="38"/>
      <c r="G30" s="58"/>
      <c r="H30" s="58"/>
      <c r="I30" s="58"/>
      <c r="J30" s="58"/>
      <c r="K30" s="27"/>
      <c r="L30" s="27"/>
      <c r="M30" s="27"/>
      <c r="N30" s="27"/>
    </row>
    <row r="31" spans="1:16" ht="23.25" customHeight="1" x14ac:dyDescent="0.3">
      <c r="A31" s="38"/>
      <c r="B31" s="60"/>
      <c r="C31" s="39"/>
      <c r="L31" s="59" t="s">
        <v>33</v>
      </c>
    </row>
    <row r="32" spans="1:16" ht="23.25" customHeight="1" x14ac:dyDescent="0.3">
      <c r="A32" s="43" t="s">
        <v>39</v>
      </c>
      <c r="B32" s="42"/>
      <c r="L32" s="59"/>
    </row>
    <row r="33" spans="1:13" ht="23.25" customHeight="1" x14ac:dyDescent="0.25">
      <c r="A33" s="42"/>
      <c r="B33" s="28" t="s">
        <v>34</v>
      </c>
      <c r="C33" s="28"/>
      <c r="D33" s="28" t="s">
        <v>35</v>
      </c>
      <c r="F33" s="28"/>
      <c r="G33" s="28" t="s">
        <v>36</v>
      </c>
      <c r="H33" s="28"/>
      <c r="I33" s="24"/>
      <c r="J33" s="28"/>
      <c r="K33" s="67" t="s">
        <v>15</v>
      </c>
      <c r="L33" s="67"/>
      <c r="M33" s="67"/>
    </row>
    <row r="34" spans="1:13" ht="23.25" customHeight="1" x14ac:dyDescent="0.25">
      <c r="A34" s="28"/>
      <c r="B34" s="30"/>
      <c r="C34" s="31"/>
      <c r="D34" s="31"/>
      <c r="E34" s="31"/>
      <c r="F34" s="3"/>
      <c r="G34" s="3"/>
      <c r="H34" s="3"/>
      <c r="I34" s="60"/>
      <c r="J34" s="60"/>
      <c r="K34" s="67" t="s">
        <v>16</v>
      </c>
      <c r="L34" s="67"/>
      <c r="M34" s="67"/>
    </row>
    <row r="35" spans="1:13" ht="23.25" customHeight="1" x14ac:dyDescent="0.3">
      <c r="A35" s="29"/>
      <c r="B35" s="1"/>
      <c r="C35" s="1"/>
      <c r="D35" s="1"/>
      <c r="E35" s="2"/>
      <c r="F35" s="1"/>
      <c r="G35" s="1"/>
      <c r="H35" s="1"/>
      <c r="I35" s="1"/>
      <c r="J35" s="1"/>
      <c r="K35" s="1"/>
      <c r="L35" s="1"/>
      <c r="M35" s="2"/>
    </row>
    <row r="36" spans="1:13" ht="23.25" customHeight="1" x14ac:dyDescent="0.3">
      <c r="A36" s="1"/>
      <c r="D36" s="24"/>
      <c r="I36" s="25"/>
    </row>
    <row r="37" spans="1:13" ht="23.25" customHeight="1" x14ac:dyDescent="0.25">
      <c r="D37" s="24"/>
      <c r="I37" s="25"/>
    </row>
    <row r="38" spans="1:13" ht="23.25" customHeight="1" x14ac:dyDescent="0.25">
      <c r="D38" s="24"/>
      <c r="I38" s="25"/>
    </row>
    <row r="39" spans="1:13" ht="23.25" customHeight="1" x14ac:dyDescent="0.25">
      <c r="D39" s="24"/>
      <c r="I39" s="25"/>
    </row>
    <row r="40" spans="1:13" ht="23.25" customHeight="1" x14ac:dyDescent="0.25">
      <c r="D40" s="24"/>
      <c r="I40" s="25"/>
    </row>
    <row r="41" spans="1:13" ht="23.25" customHeight="1" x14ac:dyDescent="0.25">
      <c r="D41" s="24"/>
      <c r="I41" s="25"/>
    </row>
    <row r="42" spans="1:13" ht="23.25" customHeight="1" x14ac:dyDescent="0.25">
      <c r="D42" s="24"/>
      <c r="I42" s="25"/>
    </row>
    <row r="43" spans="1:13" ht="23.25" customHeight="1" x14ac:dyDescent="0.25">
      <c r="D43" s="24"/>
      <c r="I43" s="25"/>
    </row>
    <row r="44" spans="1:13" ht="23.25" customHeight="1" x14ac:dyDescent="0.25">
      <c r="D44" s="24"/>
      <c r="I44" s="25"/>
    </row>
    <row r="45" spans="1:13" ht="23.25" customHeight="1" x14ac:dyDescent="0.25">
      <c r="D45" s="24"/>
      <c r="I45" s="25"/>
    </row>
    <row r="46" spans="1:13" ht="23.25" customHeight="1" x14ac:dyDescent="0.25">
      <c r="D46" s="24"/>
      <c r="I46" s="25"/>
    </row>
    <row r="47" spans="1:13" ht="23.25" customHeight="1" x14ac:dyDescent="0.25">
      <c r="D47" s="24"/>
      <c r="I47" s="25"/>
    </row>
    <row r="48" spans="1:13" ht="23.25" customHeight="1" x14ac:dyDescent="0.25">
      <c r="D48" s="24"/>
      <c r="I48" s="25"/>
    </row>
    <row r="49" spans="4:9" ht="23.25" customHeight="1" x14ac:dyDescent="0.25">
      <c r="D49" s="24"/>
      <c r="I49" s="25"/>
    </row>
    <row r="50" spans="4:9" ht="23.25" customHeight="1" x14ac:dyDescent="0.25">
      <c r="D50" s="24"/>
      <c r="I50" s="25"/>
    </row>
    <row r="51" spans="4:9" ht="23.25" customHeight="1" x14ac:dyDescent="0.25">
      <c r="D51" s="24"/>
      <c r="I51" s="25"/>
    </row>
    <row r="52" spans="4:9" ht="23.25" customHeight="1" x14ac:dyDescent="0.25">
      <c r="D52" s="24"/>
      <c r="I52" s="25"/>
    </row>
    <row r="53" spans="4:9" ht="23.25" customHeight="1" x14ac:dyDescent="0.25">
      <c r="D53" s="24"/>
      <c r="I53" s="25"/>
    </row>
    <row r="54" spans="4:9" ht="23.25" customHeight="1" x14ac:dyDescent="0.25">
      <c r="D54" s="24"/>
      <c r="I54" s="25"/>
    </row>
    <row r="55" spans="4:9" ht="23.25" customHeight="1" x14ac:dyDescent="0.25">
      <c r="D55" s="24"/>
      <c r="I55" s="25"/>
    </row>
    <row r="71" ht="15" x14ac:dyDescent="0.25"/>
  </sheetData>
  <mergeCells count="28">
    <mergeCell ref="J8:J9"/>
    <mergeCell ref="K8:K9"/>
    <mergeCell ref="A3:M3"/>
    <mergeCell ref="A4:A5"/>
    <mergeCell ref="B4:B5"/>
    <mergeCell ref="C4:C5"/>
    <mergeCell ref="D4:D5"/>
    <mergeCell ref="E4:E5"/>
    <mergeCell ref="F4:F5"/>
    <mergeCell ref="M4:M5"/>
    <mergeCell ref="G4:G5"/>
    <mergeCell ref="I4:I5"/>
    <mergeCell ref="J4:K4"/>
    <mergeCell ref="M8:M9"/>
    <mergeCell ref="K33:M33"/>
    <mergeCell ref="K34:M34"/>
    <mergeCell ref="H4:H5"/>
    <mergeCell ref="B6:B28"/>
    <mergeCell ref="C6:C28"/>
    <mergeCell ref="D6:D28"/>
    <mergeCell ref="G29:K29"/>
    <mergeCell ref="L4:L5"/>
    <mergeCell ref="E6:E28"/>
    <mergeCell ref="F6:F28"/>
    <mergeCell ref="I8:I9"/>
    <mergeCell ref="H8:H9"/>
    <mergeCell ref="G8:G9"/>
    <mergeCell ref="L8:L9"/>
  </mergeCells>
  <phoneticPr fontId="25" type="noConversion"/>
  <pageMargins left="0.63" right="0.56000000000000005" top="0.47" bottom="0.34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C4" sqref="C4"/>
    </sheetView>
  </sheetViews>
  <sheetFormatPr defaultColWidth="12.59765625" defaultRowHeight="15" customHeight="1" x14ac:dyDescent="0.25"/>
  <cols>
    <col min="1" max="1" width="6.8984375" customWidth="1"/>
    <col min="2" max="2" width="37.59765625" customWidth="1"/>
    <col min="3" max="3" width="15.59765625" customWidth="1"/>
    <col min="4" max="4" width="19" customWidth="1"/>
    <col min="5" max="5" width="18" customWidth="1"/>
    <col min="6" max="6" width="16.09765625" customWidth="1"/>
    <col min="7" max="7" width="19.3984375" customWidth="1"/>
    <col min="8" max="9" width="9.09765625" customWidth="1"/>
    <col min="10" max="10" width="11.59765625" customWidth="1"/>
    <col min="11" max="26" width="8.59765625" customWidth="1"/>
  </cols>
  <sheetData>
    <row r="1" spans="1:26" ht="38.25" customHeight="1" x14ac:dyDescent="0.65">
      <c r="A1" s="4"/>
      <c r="B1" s="4"/>
      <c r="C1" s="5" t="s">
        <v>17</v>
      </c>
      <c r="D1" s="6"/>
      <c r="E1" s="6"/>
      <c r="F1" s="6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3">
      <c r="A2" s="88" t="s">
        <v>38</v>
      </c>
      <c r="B2" s="89"/>
      <c r="C2" s="89"/>
      <c r="D2" s="89"/>
      <c r="E2" s="89"/>
      <c r="F2" s="89"/>
      <c r="G2" s="89"/>
      <c r="H2" s="7"/>
      <c r="I2" s="7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6.8" x14ac:dyDescent="0.3">
      <c r="A3" s="8" t="s">
        <v>18</v>
      </c>
      <c r="B3" s="8" t="s">
        <v>19</v>
      </c>
      <c r="C3" s="9" t="s">
        <v>20</v>
      </c>
      <c r="D3" s="9" t="s">
        <v>21</v>
      </c>
      <c r="E3" s="9" t="s">
        <v>22</v>
      </c>
      <c r="F3" s="8" t="s">
        <v>23</v>
      </c>
      <c r="G3" s="9" t="s">
        <v>24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8.25" customHeight="1" x14ac:dyDescent="0.3">
      <c r="A4" s="10">
        <v>1</v>
      </c>
      <c r="B4" s="11" t="s">
        <v>46</v>
      </c>
      <c r="C4" s="12">
        <v>25</v>
      </c>
      <c r="D4" s="12"/>
      <c r="E4" s="12">
        <f>C4*D4</f>
        <v>0</v>
      </c>
      <c r="F4" s="12">
        <f>E4*10/100</f>
        <v>0</v>
      </c>
      <c r="G4" s="12">
        <f>E4-F4</f>
        <v>0</v>
      </c>
      <c r="H4" s="4"/>
      <c r="I4" s="4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8.25" customHeight="1" x14ac:dyDescent="0.3">
      <c r="A5" s="10">
        <v>2</v>
      </c>
      <c r="B5" s="11"/>
      <c r="C5" s="12"/>
      <c r="D5" s="12"/>
      <c r="E5" s="12"/>
      <c r="F5" s="12"/>
      <c r="G5" s="12"/>
      <c r="H5" s="4"/>
      <c r="I5" s="4"/>
      <c r="J5" s="1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8.25" customHeight="1" x14ac:dyDescent="0.3">
      <c r="A6" s="90" t="s">
        <v>25</v>
      </c>
      <c r="B6" s="91"/>
      <c r="C6" s="91"/>
      <c r="D6" s="14"/>
      <c r="E6" s="15">
        <f>SUM(E4)</f>
        <v>0</v>
      </c>
      <c r="F6" s="15">
        <f>ROUND(E6*10%,0)</f>
        <v>0</v>
      </c>
      <c r="G6" s="15">
        <f>SUM(E6-F6)</f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8.25" customHeight="1" x14ac:dyDescent="0.3">
      <c r="A7" s="16"/>
      <c r="B7" s="16"/>
      <c r="C7" s="16"/>
      <c r="D7" s="17"/>
      <c r="E7" s="18"/>
      <c r="F7" s="18"/>
      <c r="G7" s="1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8.25" customHeight="1" x14ac:dyDescent="0.3">
      <c r="A8" s="16"/>
      <c r="B8" s="16"/>
      <c r="C8" s="16"/>
      <c r="D8" s="17"/>
      <c r="E8" s="19"/>
      <c r="F8" s="19"/>
      <c r="G8" s="19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" customHeight="1" x14ac:dyDescent="0.3">
      <c r="A9" s="86" t="s">
        <v>14</v>
      </c>
      <c r="B9" s="87"/>
      <c r="C9" s="87"/>
      <c r="D9" s="16"/>
      <c r="E9" s="20"/>
      <c r="F9" s="92" t="s">
        <v>15</v>
      </c>
      <c r="G9" s="8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4" customHeight="1" x14ac:dyDescent="0.3">
      <c r="A10" s="92"/>
      <c r="B10" s="87"/>
      <c r="C10" s="92"/>
      <c r="D10" s="87"/>
      <c r="E10" s="87"/>
      <c r="F10" s="92" t="s">
        <v>16</v>
      </c>
      <c r="G10" s="8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8.25" customHeight="1" x14ac:dyDescent="0.3">
      <c r="A11" s="4"/>
      <c r="B11" s="86"/>
      <c r="C11" s="87"/>
      <c r="D11" s="87"/>
      <c r="E11" s="21"/>
      <c r="F11" s="6"/>
      <c r="G11" s="2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8.25" customHeight="1" x14ac:dyDescent="0.3">
      <c r="A12" s="4"/>
      <c r="B12" s="86"/>
      <c r="C12" s="87"/>
      <c r="D12" s="8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8.25" customHeight="1" x14ac:dyDescent="0.3">
      <c r="A13" s="4"/>
      <c r="B13" s="4"/>
      <c r="C13" s="4"/>
      <c r="D13" s="6"/>
      <c r="E13" s="6"/>
      <c r="F13" s="6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8.25" customHeight="1" x14ac:dyDescent="0.3">
      <c r="A14" s="4"/>
      <c r="B14" s="4"/>
      <c r="C14" s="4"/>
      <c r="D14" s="6"/>
      <c r="E14" s="6"/>
      <c r="F14" s="6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8.25" customHeight="1" x14ac:dyDescent="0.3">
      <c r="A15" s="4"/>
      <c r="B15" s="4"/>
      <c r="C15" s="4"/>
      <c r="D15" s="6"/>
      <c r="E15" s="6"/>
      <c r="F15" s="6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8.25" customHeight="1" x14ac:dyDescent="0.3">
      <c r="A16" s="4"/>
      <c r="B16" s="4"/>
      <c r="C16" s="4"/>
      <c r="D16" s="6"/>
      <c r="E16" s="6"/>
      <c r="F16" s="6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38.25" customHeight="1" x14ac:dyDescent="0.3">
      <c r="A17" s="4"/>
      <c r="B17" s="4"/>
      <c r="C17" s="4"/>
      <c r="D17" s="6"/>
      <c r="E17" s="6"/>
      <c r="F17" s="6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38.25" customHeight="1" x14ac:dyDescent="0.3">
      <c r="A18" s="4"/>
      <c r="B18" s="4"/>
      <c r="C18" s="4"/>
      <c r="D18" s="6"/>
      <c r="E18" s="6"/>
      <c r="F18" s="6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38.25" customHeight="1" x14ac:dyDescent="0.3">
      <c r="A19" s="4"/>
      <c r="B19" s="4"/>
      <c r="C19" s="4"/>
      <c r="D19" s="6"/>
      <c r="E19" s="6"/>
      <c r="F19" s="6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8.25" customHeight="1" x14ac:dyDescent="0.3">
      <c r="A20" s="4"/>
      <c r="B20" s="4"/>
      <c r="C20" s="4"/>
      <c r="D20" s="6"/>
      <c r="E20" s="6"/>
      <c r="F20" s="6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8.25" customHeight="1" x14ac:dyDescent="0.3">
      <c r="A21" s="4"/>
      <c r="B21" s="4"/>
      <c r="C21" s="4"/>
      <c r="D21" s="6"/>
      <c r="E21" s="6"/>
      <c r="F21" s="6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8.25" customHeight="1" x14ac:dyDescent="0.3">
      <c r="A22" s="4"/>
      <c r="B22" s="4"/>
      <c r="C22" s="4"/>
      <c r="D22" s="6"/>
      <c r="E22" s="6"/>
      <c r="F22" s="6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8.25" customHeight="1" x14ac:dyDescent="0.3">
      <c r="A23" s="4"/>
      <c r="B23" s="4"/>
      <c r="C23" s="4"/>
      <c r="D23" s="6"/>
      <c r="E23" s="6"/>
      <c r="F23" s="6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8.25" customHeight="1" x14ac:dyDescent="0.3">
      <c r="A24" s="4"/>
      <c r="B24" s="4"/>
      <c r="C24" s="4"/>
      <c r="D24" s="6"/>
      <c r="E24" s="6"/>
      <c r="F24" s="6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8.25" customHeight="1" x14ac:dyDescent="0.3">
      <c r="A25" s="4"/>
      <c r="B25" s="4"/>
      <c r="C25" s="4"/>
      <c r="D25" s="6"/>
      <c r="E25" s="6"/>
      <c r="F25" s="6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8.25" customHeight="1" x14ac:dyDescent="0.3">
      <c r="A26" s="4"/>
      <c r="B26" s="4"/>
      <c r="C26" s="4"/>
      <c r="D26" s="6"/>
      <c r="E26" s="6"/>
      <c r="F26" s="6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8.25" customHeight="1" x14ac:dyDescent="0.3">
      <c r="A27" s="4"/>
      <c r="B27" s="4"/>
      <c r="C27" s="4"/>
      <c r="D27" s="6"/>
      <c r="E27" s="6"/>
      <c r="F27" s="6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8.25" customHeight="1" x14ac:dyDescent="0.3">
      <c r="A28" s="4"/>
      <c r="B28" s="4"/>
      <c r="C28" s="4"/>
      <c r="D28" s="6"/>
      <c r="E28" s="6"/>
      <c r="F28" s="6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8.25" customHeight="1" x14ac:dyDescent="0.3">
      <c r="A29" s="4"/>
      <c r="B29" s="4"/>
      <c r="C29" s="4"/>
      <c r="D29" s="6"/>
      <c r="E29" s="6"/>
      <c r="F29" s="6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8.25" customHeight="1" x14ac:dyDescent="0.3">
      <c r="A30" s="4"/>
      <c r="B30" s="4"/>
      <c r="C30" s="4"/>
      <c r="D30" s="6"/>
      <c r="E30" s="6"/>
      <c r="F30" s="6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8.25" customHeight="1" x14ac:dyDescent="0.3">
      <c r="A31" s="4"/>
      <c r="B31" s="4"/>
      <c r="C31" s="4"/>
      <c r="D31" s="6"/>
      <c r="E31" s="6"/>
      <c r="F31" s="6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8.25" customHeight="1" x14ac:dyDescent="0.3">
      <c r="A32" s="4"/>
      <c r="B32" s="4"/>
      <c r="C32" s="4"/>
      <c r="D32" s="6"/>
      <c r="E32" s="6"/>
      <c r="F32" s="6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8.25" customHeight="1" x14ac:dyDescent="0.3">
      <c r="A33" s="4"/>
      <c r="B33" s="4"/>
      <c r="C33" s="4"/>
      <c r="D33" s="6"/>
      <c r="E33" s="6"/>
      <c r="F33" s="6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8.25" customHeight="1" x14ac:dyDescent="0.3">
      <c r="A34" s="4"/>
      <c r="B34" s="4"/>
      <c r="C34" s="4"/>
      <c r="D34" s="6"/>
      <c r="E34" s="6"/>
      <c r="F34" s="6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8.25" customHeight="1" x14ac:dyDescent="0.3">
      <c r="A35" s="4"/>
      <c r="B35" s="4"/>
      <c r="C35" s="4"/>
      <c r="D35" s="6"/>
      <c r="E35" s="6"/>
      <c r="F35" s="6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8.25" customHeight="1" x14ac:dyDescent="0.3">
      <c r="A36" s="4"/>
      <c r="B36" s="4"/>
      <c r="C36" s="4"/>
      <c r="D36" s="6"/>
      <c r="E36" s="6"/>
      <c r="F36" s="6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8.25" customHeight="1" x14ac:dyDescent="0.3">
      <c r="A37" s="4"/>
      <c r="B37" s="4"/>
      <c r="C37" s="4"/>
      <c r="D37" s="6"/>
      <c r="E37" s="6"/>
      <c r="F37" s="6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8.25" customHeight="1" x14ac:dyDescent="0.3">
      <c r="A38" s="4"/>
      <c r="B38" s="4"/>
      <c r="C38" s="4"/>
      <c r="D38" s="6"/>
      <c r="E38" s="6"/>
      <c r="F38" s="6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8.25" customHeight="1" x14ac:dyDescent="0.3">
      <c r="A39" s="4"/>
      <c r="B39" s="4"/>
      <c r="C39" s="4"/>
      <c r="D39" s="6"/>
      <c r="E39" s="6"/>
      <c r="F39" s="6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8.25" customHeight="1" x14ac:dyDescent="0.3">
      <c r="A40" s="4"/>
      <c r="B40" s="4"/>
      <c r="C40" s="4"/>
      <c r="D40" s="6"/>
      <c r="E40" s="6"/>
      <c r="F40" s="6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8.25" customHeight="1" x14ac:dyDescent="0.3">
      <c r="A41" s="4"/>
      <c r="B41" s="4"/>
      <c r="C41" s="4"/>
      <c r="D41" s="6"/>
      <c r="E41" s="6"/>
      <c r="F41" s="6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8.25" customHeight="1" x14ac:dyDescent="0.3">
      <c r="A42" s="4"/>
      <c r="B42" s="4"/>
      <c r="C42" s="4"/>
      <c r="D42" s="6"/>
      <c r="E42" s="6"/>
      <c r="F42" s="6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8.25" customHeight="1" x14ac:dyDescent="0.3">
      <c r="A43" s="4"/>
      <c r="B43" s="4"/>
      <c r="C43" s="4"/>
      <c r="D43" s="6"/>
      <c r="E43" s="6"/>
      <c r="F43" s="6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8.25" customHeight="1" x14ac:dyDescent="0.3">
      <c r="A44" s="4"/>
      <c r="B44" s="4"/>
      <c r="C44" s="4"/>
      <c r="D44" s="6"/>
      <c r="E44" s="6"/>
      <c r="F44" s="6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8.25" customHeight="1" x14ac:dyDescent="0.3">
      <c r="A45" s="4"/>
      <c r="B45" s="4"/>
      <c r="C45" s="4"/>
      <c r="D45" s="6"/>
      <c r="E45" s="6"/>
      <c r="F45" s="6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8.25" customHeight="1" x14ac:dyDescent="0.3">
      <c r="A46" s="4"/>
      <c r="B46" s="4"/>
      <c r="C46" s="4"/>
      <c r="D46" s="6"/>
      <c r="E46" s="6"/>
      <c r="F46" s="6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8.25" customHeight="1" x14ac:dyDescent="0.3">
      <c r="A47" s="4"/>
      <c r="B47" s="4"/>
      <c r="C47" s="4"/>
      <c r="D47" s="6"/>
      <c r="E47" s="6"/>
      <c r="F47" s="6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8.25" customHeight="1" x14ac:dyDescent="0.3">
      <c r="A48" s="4"/>
      <c r="B48" s="4"/>
      <c r="C48" s="4"/>
      <c r="D48" s="6"/>
      <c r="E48" s="6"/>
      <c r="F48" s="6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8.25" customHeight="1" x14ac:dyDescent="0.3">
      <c r="A49" s="4"/>
      <c r="B49" s="4"/>
      <c r="C49" s="4"/>
      <c r="D49" s="6"/>
      <c r="E49" s="6"/>
      <c r="F49" s="6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8.25" customHeight="1" x14ac:dyDescent="0.3">
      <c r="A50" s="4"/>
      <c r="B50" s="4"/>
      <c r="C50" s="4"/>
      <c r="D50" s="6"/>
      <c r="E50" s="6"/>
      <c r="F50" s="6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8.25" customHeight="1" x14ac:dyDescent="0.3">
      <c r="A51" s="4"/>
      <c r="B51" s="4"/>
      <c r="C51" s="4"/>
      <c r="D51" s="6"/>
      <c r="E51" s="6"/>
      <c r="F51" s="6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8.25" customHeight="1" x14ac:dyDescent="0.3">
      <c r="A52" s="4"/>
      <c r="B52" s="4"/>
      <c r="C52" s="4"/>
      <c r="D52" s="6"/>
      <c r="E52" s="6"/>
      <c r="F52" s="6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8.25" customHeight="1" x14ac:dyDescent="0.3">
      <c r="A53" s="4"/>
      <c r="B53" s="4"/>
      <c r="C53" s="4"/>
      <c r="D53" s="6"/>
      <c r="E53" s="6"/>
      <c r="F53" s="6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8.25" customHeight="1" x14ac:dyDescent="0.3">
      <c r="A54" s="4"/>
      <c r="B54" s="4"/>
      <c r="C54" s="4"/>
      <c r="D54" s="6"/>
      <c r="E54" s="6"/>
      <c r="F54" s="6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8.25" customHeight="1" x14ac:dyDescent="0.3">
      <c r="A55" s="4"/>
      <c r="B55" s="4"/>
      <c r="C55" s="4"/>
      <c r="D55" s="6"/>
      <c r="E55" s="6"/>
      <c r="F55" s="6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8.25" customHeight="1" x14ac:dyDescent="0.3">
      <c r="A56" s="4"/>
      <c r="B56" s="4"/>
      <c r="C56" s="4"/>
      <c r="D56" s="6"/>
      <c r="E56" s="6"/>
      <c r="F56" s="6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8.25" customHeight="1" x14ac:dyDescent="0.3">
      <c r="A57" s="4"/>
      <c r="B57" s="4"/>
      <c r="C57" s="4"/>
      <c r="D57" s="6"/>
      <c r="E57" s="6"/>
      <c r="F57" s="6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8.25" customHeight="1" x14ac:dyDescent="0.3">
      <c r="A58" s="4"/>
      <c r="B58" s="4"/>
      <c r="C58" s="4"/>
      <c r="D58" s="6"/>
      <c r="E58" s="6"/>
      <c r="F58" s="6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8.25" customHeight="1" x14ac:dyDescent="0.3">
      <c r="A59" s="4"/>
      <c r="B59" s="4"/>
      <c r="C59" s="4"/>
      <c r="D59" s="6"/>
      <c r="E59" s="6"/>
      <c r="F59" s="6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8.25" customHeight="1" x14ac:dyDescent="0.3">
      <c r="A60" s="4"/>
      <c r="B60" s="4"/>
      <c r="C60" s="4"/>
      <c r="D60" s="6"/>
      <c r="E60" s="6"/>
      <c r="F60" s="6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8.25" customHeight="1" x14ac:dyDescent="0.3">
      <c r="A61" s="4"/>
      <c r="B61" s="4"/>
      <c r="C61" s="4"/>
      <c r="D61" s="6"/>
      <c r="E61" s="6"/>
      <c r="F61" s="6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8.25" customHeight="1" x14ac:dyDescent="0.3">
      <c r="A62" s="4"/>
      <c r="B62" s="4"/>
      <c r="C62" s="4"/>
      <c r="D62" s="6"/>
      <c r="E62" s="6"/>
      <c r="F62" s="6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8.25" customHeight="1" x14ac:dyDescent="0.3">
      <c r="A63" s="4"/>
      <c r="B63" s="4"/>
      <c r="C63" s="4"/>
      <c r="D63" s="6"/>
      <c r="E63" s="6"/>
      <c r="F63" s="6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8.25" customHeight="1" x14ac:dyDescent="0.3">
      <c r="A64" s="4"/>
      <c r="B64" s="4"/>
      <c r="C64" s="4"/>
      <c r="D64" s="6"/>
      <c r="E64" s="6"/>
      <c r="F64" s="6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8.25" customHeight="1" x14ac:dyDescent="0.3">
      <c r="A65" s="4"/>
      <c r="B65" s="4"/>
      <c r="C65" s="4"/>
      <c r="D65" s="6"/>
      <c r="E65" s="6"/>
      <c r="F65" s="6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8.25" customHeight="1" x14ac:dyDescent="0.3">
      <c r="A66" s="4"/>
      <c r="B66" s="4"/>
      <c r="C66" s="4"/>
      <c r="D66" s="6"/>
      <c r="E66" s="6"/>
      <c r="F66" s="6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8.25" customHeight="1" x14ac:dyDescent="0.3">
      <c r="A67" s="4"/>
      <c r="B67" s="4"/>
      <c r="C67" s="4"/>
      <c r="D67" s="6"/>
      <c r="E67" s="6"/>
      <c r="F67" s="6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8.25" customHeight="1" x14ac:dyDescent="0.3">
      <c r="A68" s="4"/>
      <c r="B68" s="4"/>
      <c r="C68" s="4"/>
      <c r="D68" s="6"/>
      <c r="E68" s="6"/>
      <c r="F68" s="6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8.25" customHeight="1" x14ac:dyDescent="0.3">
      <c r="A69" s="4"/>
      <c r="B69" s="4"/>
      <c r="C69" s="4"/>
      <c r="D69" s="6"/>
      <c r="E69" s="6"/>
      <c r="F69" s="6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8.25" customHeight="1" x14ac:dyDescent="0.3">
      <c r="A70" s="4"/>
      <c r="B70" s="4"/>
      <c r="C70" s="4"/>
      <c r="D70" s="6"/>
      <c r="E70" s="6"/>
      <c r="F70" s="6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8.25" customHeight="1" x14ac:dyDescent="0.3">
      <c r="A71" s="4"/>
      <c r="B71" s="4"/>
      <c r="C71" s="4"/>
      <c r="D71" s="6"/>
      <c r="E71" s="6"/>
      <c r="F71" s="6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8.25" customHeight="1" x14ac:dyDescent="0.3">
      <c r="A72" s="4"/>
      <c r="B72" s="4"/>
      <c r="C72" s="4"/>
      <c r="D72" s="6"/>
      <c r="E72" s="6"/>
      <c r="F72" s="6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8.25" customHeight="1" x14ac:dyDescent="0.3">
      <c r="A73" s="4"/>
      <c r="B73" s="4"/>
      <c r="C73" s="4"/>
      <c r="D73" s="6"/>
      <c r="E73" s="6"/>
      <c r="F73" s="6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8.25" customHeight="1" x14ac:dyDescent="0.3">
      <c r="A74" s="4"/>
      <c r="B74" s="4"/>
      <c r="C74" s="4"/>
      <c r="D74" s="6"/>
      <c r="E74" s="6"/>
      <c r="F74" s="6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8.25" customHeight="1" x14ac:dyDescent="0.3">
      <c r="A75" s="4"/>
      <c r="B75" s="4"/>
      <c r="C75" s="4"/>
      <c r="D75" s="6"/>
      <c r="E75" s="6"/>
      <c r="F75" s="6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8.25" customHeight="1" x14ac:dyDescent="0.3">
      <c r="A76" s="4"/>
      <c r="B76" s="4"/>
      <c r="C76" s="4"/>
      <c r="D76" s="6"/>
      <c r="E76" s="6"/>
      <c r="F76" s="6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8.25" customHeight="1" x14ac:dyDescent="0.3">
      <c r="A77" s="4"/>
      <c r="B77" s="4"/>
      <c r="C77" s="4"/>
      <c r="D77" s="6"/>
      <c r="E77" s="6"/>
      <c r="F77" s="6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8.25" customHeight="1" x14ac:dyDescent="0.3">
      <c r="A78" s="4"/>
      <c r="B78" s="4"/>
      <c r="C78" s="4"/>
      <c r="D78" s="6"/>
      <c r="E78" s="6"/>
      <c r="F78" s="6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8.25" customHeight="1" x14ac:dyDescent="0.3">
      <c r="A79" s="4"/>
      <c r="B79" s="4"/>
      <c r="C79" s="4"/>
      <c r="D79" s="6"/>
      <c r="E79" s="6"/>
      <c r="F79" s="6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8.25" customHeight="1" x14ac:dyDescent="0.3">
      <c r="A80" s="4"/>
      <c r="B80" s="4"/>
      <c r="C80" s="4"/>
      <c r="D80" s="6"/>
      <c r="E80" s="6"/>
      <c r="F80" s="6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8.25" customHeight="1" x14ac:dyDescent="0.3">
      <c r="A81" s="4"/>
      <c r="B81" s="4"/>
      <c r="C81" s="4"/>
      <c r="D81" s="6"/>
      <c r="E81" s="6"/>
      <c r="F81" s="6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8.25" customHeight="1" x14ac:dyDescent="0.3">
      <c r="A82" s="4"/>
      <c r="B82" s="4"/>
      <c r="C82" s="4"/>
      <c r="D82" s="6"/>
      <c r="E82" s="6"/>
      <c r="F82" s="6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8.25" customHeight="1" x14ac:dyDescent="0.3">
      <c r="A83" s="4"/>
      <c r="B83" s="4"/>
      <c r="C83" s="4"/>
      <c r="D83" s="6"/>
      <c r="E83" s="6"/>
      <c r="F83" s="6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8.25" customHeight="1" x14ac:dyDescent="0.3">
      <c r="A84" s="4"/>
      <c r="B84" s="4"/>
      <c r="C84" s="4"/>
      <c r="D84" s="6"/>
      <c r="E84" s="6"/>
      <c r="F84" s="6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8.25" customHeight="1" x14ac:dyDescent="0.3">
      <c r="A85" s="4"/>
      <c r="B85" s="4"/>
      <c r="C85" s="4"/>
      <c r="D85" s="6"/>
      <c r="E85" s="6"/>
      <c r="F85" s="6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8.25" customHeight="1" x14ac:dyDescent="0.3">
      <c r="A86" s="4"/>
      <c r="B86" s="4"/>
      <c r="C86" s="4"/>
      <c r="D86" s="6"/>
      <c r="E86" s="6"/>
      <c r="F86" s="6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8.25" customHeight="1" x14ac:dyDescent="0.3">
      <c r="A87" s="4"/>
      <c r="B87" s="4"/>
      <c r="C87" s="4"/>
      <c r="D87" s="6"/>
      <c r="E87" s="6"/>
      <c r="F87" s="6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8.25" customHeight="1" x14ac:dyDescent="0.3">
      <c r="A88" s="4"/>
      <c r="B88" s="4"/>
      <c r="C88" s="4"/>
      <c r="D88" s="6"/>
      <c r="E88" s="6"/>
      <c r="F88" s="6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8.25" customHeight="1" x14ac:dyDescent="0.3">
      <c r="A89" s="4"/>
      <c r="B89" s="4"/>
      <c r="C89" s="4"/>
      <c r="D89" s="6"/>
      <c r="E89" s="6"/>
      <c r="F89" s="6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8.25" customHeight="1" x14ac:dyDescent="0.3">
      <c r="A90" s="4"/>
      <c r="B90" s="4"/>
      <c r="C90" s="4"/>
      <c r="D90" s="6"/>
      <c r="E90" s="6"/>
      <c r="F90" s="6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8.25" customHeight="1" x14ac:dyDescent="0.3">
      <c r="A91" s="4"/>
      <c r="B91" s="4"/>
      <c r="C91" s="4"/>
      <c r="D91" s="6"/>
      <c r="E91" s="6"/>
      <c r="F91" s="6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8.25" customHeight="1" x14ac:dyDescent="0.3">
      <c r="A92" s="4"/>
      <c r="B92" s="4"/>
      <c r="C92" s="4"/>
      <c r="D92" s="6"/>
      <c r="E92" s="6"/>
      <c r="F92" s="6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8.25" customHeight="1" x14ac:dyDescent="0.3">
      <c r="A93" s="4"/>
      <c r="B93" s="4"/>
      <c r="C93" s="4"/>
      <c r="D93" s="6"/>
      <c r="E93" s="6"/>
      <c r="F93" s="6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8.25" customHeight="1" x14ac:dyDescent="0.3">
      <c r="A94" s="4"/>
      <c r="B94" s="4"/>
      <c r="C94" s="4"/>
      <c r="D94" s="6"/>
      <c r="E94" s="6"/>
      <c r="F94" s="6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8.25" customHeight="1" x14ac:dyDescent="0.3">
      <c r="A95" s="4"/>
      <c r="B95" s="4"/>
      <c r="C95" s="4"/>
      <c r="D95" s="6"/>
      <c r="E95" s="6"/>
      <c r="F95" s="6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8.25" customHeight="1" x14ac:dyDescent="0.3">
      <c r="A96" s="4"/>
      <c r="B96" s="4"/>
      <c r="C96" s="4"/>
      <c r="D96" s="6"/>
      <c r="E96" s="6"/>
      <c r="F96" s="6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8.25" customHeight="1" x14ac:dyDescent="0.3">
      <c r="A97" s="4"/>
      <c r="B97" s="4"/>
      <c r="C97" s="4"/>
      <c r="D97" s="6"/>
      <c r="E97" s="6"/>
      <c r="F97" s="6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8.25" customHeight="1" x14ac:dyDescent="0.3">
      <c r="A98" s="4"/>
      <c r="B98" s="4"/>
      <c r="C98" s="4"/>
      <c r="D98" s="6"/>
      <c r="E98" s="6"/>
      <c r="F98" s="6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8.25" customHeight="1" x14ac:dyDescent="0.3">
      <c r="A99" s="4"/>
      <c r="B99" s="4"/>
      <c r="C99" s="4"/>
      <c r="D99" s="6"/>
      <c r="E99" s="6"/>
      <c r="F99" s="6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8.25" customHeight="1" x14ac:dyDescent="0.3">
      <c r="A100" s="4"/>
      <c r="B100" s="4"/>
      <c r="C100" s="4"/>
      <c r="D100" s="6"/>
      <c r="E100" s="6"/>
      <c r="F100" s="6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8.25" customHeight="1" x14ac:dyDescent="0.3">
      <c r="A101" s="4"/>
      <c r="B101" s="4"/>
      <c r="C101" s="4"/>
      <c r="D101" s="6"/>
      <c r="E101" s="6"/>
      <c r="F101" s="6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8.25" customHeight="1" x14ac:dyDescent="0.3">
      <c r="A102" s="4"/>
      <c r="B102" s="4"/>
      <c r="C102" s="4"/>
      <c r="D102" s="6"/>
      <c r="E102" s="6"/>
      <c r="F102" s="6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8.25" customHeight="1" x14ac:dyDescent="0.3">
      <c r="A103" s="4"/>
      <c r="B103" s="4"/>
      <c r="C103" s="4"/>
      <c r="D103" s="6"/>
      <c r="E103" s="6"/>
      <c r="F103" s="6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8.25" customHeight="1" x14ac:dyDescent="0.3">
      <c r="A104" s="4"/>
      <c r="B104" s="4"/>
      <c r="C104" s="4"/>
      <c r="D104" s="6"/>
      <c r="E104" s="6"/>
      <c r="F104" s="6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8.25" customHeight="1" x14ac:dyDescent="0.3">
      <c r="A105" s="4"/>
      <c r="B105" s="4"/>
      <c r="C105" s="4"/>
      <c r="D105" s="6"/>
      <c r="E105" s="6"/>
      <c r="F105" s="6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8.25" customHeight="1" x14ac:dyDescent="0.3">
      <c r="A106" s="4"/>
      <c r="B106" s="4"/>
      <c r="C106" s="4"/>
      <c r="D106" s="6"/>
      <c r="E106" s="6"/>
      <c r="F106" s="6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8.25" customHeight="1" x14ac:dyDescent="0.3">
      <c r="A107" s="4"/>
      <c r="B107" s="4"/>
      <c r="C107" s="4"/>
      <c r="D107" s="6"/>
      <c r="E107" s="6"/>
      <c r="F107" s="6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8.25" customHeight="1" x14ac:dyDescent="0.3">
      <c r="A108" s="4"/>
      <c r="B108" s="4"/>
      <c r="C108" s="4"/>
      <c r="D108" s="6"/>
      <c r="E108" s="6"/>
      <c r="F108" s="6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8.25" customHeight="1" x14ac:dyDescent="0.3">
      <c r="A109" s="4"/>
      <c r="B109" s="4"/>
      <c r="C109" s="4"/>
      <c r="D109" s="6"/>
      <c r="E109" s="6"/>
      <c r="F109" s="6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8.25" customHeight="1" x14ac:dyDescent="0.3">
      <c r="A110" s="4"/>
      <c r="B110" s="4"/>
      <c r="C110" s="4"/>
      <c r="D110" s="6"/>
      <c r="E110" s="6"/>
      <c r="F110" s="6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8.25" customHeight="1" x14ac:dyDescent="0.3">
      <c r="A111" s="4"/>
      <c r="B111" s="4"/>
      <c r="C111" s="4"/>
      <c r="D111" s="6"/>
      <c r="E111" s="6"/>
      <c r="F111" s="6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8.25" customHeight="1" x14ac:dyDescent="0.3">
      <c r="A112" s="4"/>
      <c r="B112" s="4"/>
      <c r="C112" s="4"/>
      <c r="D112" s="6"/>
      <c r="E112" s="6"/>
      <c r="F112" s="6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8.25" customHeight="1" x14ac:dyDescent="0.3">
      <c r="A113" s="4"/>
      <c r="B113" s="4"/>
      <c r="C113" s="4"/>
      <c r="D113" s="6"/>
      <c r="E113" s="6"/>
      <c r="F113" s="6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8.25" customHeight="1" x14ac:dyDescent="0.3">
      <c r="A114" s="4"/>
      <c r="B114" s="4"/>
      <c r="C114" s="4"/>
      <c r="D114" s="6"/>
      <c r="E114" s="6"/>
      <c r="F114" s="6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8.25" customHeight="1" x14ac:dyDescent="0.3">
      <c r="A115" s="4"/>
      <c r="B115" s="4"/>
      <c r="C115" s="4"/>
      <c r="D115" s="6"/>
      <c r="E115" s="6"/>
      <c r="F115" s="6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8.25" customHeight="1" x14ac:dyDescent="0.3">
      <c r="A116" s="4"/>
      <c r="B116" s="4"/>
      <c r="C116" s="4"/>
      <c r="D116" s="6"/>
      <c r="E116" s="6"/>
      <c r="F116" s="6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8.25" customHeight="1" x14ac:dyDescent="0.3">
      <c r="A117" s="4"/>
      <c r="B117" s="4"/>
      <c r="C117" s="4"/>
      <c r="D117" s="6"/>
      <c r="E117" s="6"/>
      <c r="F117" s="6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8.25" customHeight="1" x14ac:dyDescent="0.3">
      <c r="A118" s="4"/>
      <c r="B118" s="4"/>
      <c r="C118" s="4"/>
      <c r="D118" s="6"/>
      <c r="E118" s="6"/>
      <c r="F118" s="6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8.25" customHeight="1" x14ac:dyDescent="0.3">
      <c r="A119" s="4"/>
      <c r="B119" s="4"/>
      <c r="C119" s="4"/>
      <c r="D119" s="6"/>
      <c r="E119" s="6"/>
      <c r="F119" s="6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8.25" customHeight="1" x14ac:dyDescent="0.3">
      <c r="A120" s="4"/>
      <c r="B120" s="4"/>
      <c r="C120" s="4"/>
      <c r="D120" s="6"/>
      <c r="E120" s="6"/>
      <c r="F120" s="6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8.25" customHeight="1" x14ac:dyDescent="0.3">
      <c r="A121" s="4"/>
      <c r="B121" s="4"/>
      <c r="C121" s="4"/>
      <c r="D121" s="6"/>
      <c r="E121" s="6"/>
      <c r="F121" s="6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8.25" customHeight="1" x14ac:dyDescent="0.3">
      <c r="A122" s="4"/>
      <c r="B122" s="4"/>
      <c r="C122" s="4"/>
      <c r="D122" s="6"/>
      <c r="E122" s="6"/>
      <c r="F122" s="6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8.25" customHeight="1" x14ac:dyDescent="0.3">
      <c r="A123" s="4"/>
      <c r="B123" s="4"/>
      <c r="C123" s="4"/>
      <c r="D123" s="6"/>
      <c r="E123" s="6"/>
      <c r="F123" s="6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8.25" customHeight="1" x14ac:dyDescent="0.3">
      <c r="A124" s="4"/>
      <c r="B124" s="4"/>
      <c r="C124" s="4"/>
      <c r="D124" s="6"/>
      <c r="E124" s="6"/>
      <c r="F124" s="6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8.25" customHeight="1" x14ac:dyDescent="0.3">
      <c r="A125" s="4"/>
      <c r="B125" s="4"/>
      <c r="C125" s="4"/>
      <c r="D125" s="6"/>
      <c r="E125" s="6"/>
      <c r="F125" s="6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8.25" customHeight="1" x14ac:dyDescent="0.3">
      <c r="A126" s="4"/>
      <c r="B126" s="4"/>
      <c r="C126" s="4"/>
      <c r="D126" s="6"/>
      <c r="E126" s="6"/>
      <c r="F126" s="6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8.25" customHeight="1" x14ac:dyDescent="0.3">
      <c r="A127" s="4"/>
      <c r="B127" s="4"/>
      <c r="C127" s="4"/>
      <c r="D127" s="6"/>
      <c r="E127" s="6"/>
      <c r="F127" s="6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8.25" customHeight="1" x14ac:dyDescent="0.3">
      <c r="A128" s="4"/>
      <c r="B128" s="4"/>
      <c r="C128" s="4"/>
      <c r="D128" s="6"/>
      <c r="E128" s="6"/>
      <c r="F128" s="6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8.25" customHeight="1" x14ac:dyDescent="0.3">
      <c r="A129" s="4"/>
      <c r="B129" s="4"/>
      <c r="C129" s="4"/>
      <c r="D129" s="6"/>
      <c r="E129" s="6"/>
      <c r="F129" s="6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8.25" customHeight="1" x14ac:dyDescent="0.3">
      <c r="A130" s="4"/>
      <c r="B130" s="4"/>
      <c r="C130" s="4"/>
      <c r="D130" s="6"/>
      <c r="E130" s="6"/>
      <c r="F130" s="6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8.25" customHeight="1" x14ac:dyDescent="0.3">
      <c r="A131" s="4"/>
      <c r="B131" s="4"/>
      <c r="C131" s="4"/>
      <c r="D131" s="6"/>
      <c r="E131" s="6"/>
      <c r="F131" s="6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8.25" customHeight="1" x14ac:dyDescent="0.3">
      <c r="A132" s="4"/>
      <c r="B132" s="4"/>
      <c r="C132" s="4"/>
      <c r="D132" s="6"/>
      <c r="E132" s="6"/>
      <c r="F132" s="6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8.25" customHeight="1" x14ac:dyDescent="0.3">
      <c r="A133" s="4"/>
      <c r="B133" s="4"/>
      <c r="C133" s="4"/>
      <c r="D133" s="6"/>
      <c r="E133" s="6"/>
      <c r="F133" s="6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8.25" customHeight="1" x14ac:dyDescent="0.3">
      <c r="A134" s="4"/>
      <c r="B134" s="4"/>
      <c r="C134" s="4"/>
      <c r="D134" s="6"/>
      <c r="E134" s="6"/>
      <c r="F134" s="6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8.25" customHeight="1" x14ac:dyDescent="0.3">
      <c r="A135" s="4"/>
      <c r="B135" s="4"/>
      <c r="C135" s="4"/>
      <c r="D135" s="6"/>
      <c r="E135" s="6"/>
      <c r="F135" s="6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8.25" customHeight="1" x14ac:dyDescent="0.3">
      <c r="A136" s="4"/>
      <c r="B136" s="4"/>
      <c r="C136" s="4"/>
      <c r="D136" s="6"/>
      <c r="E136" s="6"/>
      <c r="F136" s="6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8.25" customHeight="1" x14ac:dyDescent="0.3">
      <c r="A137" s="4"/>
      <c r="B137" s="4"/>
      <c r="C137" s="4"/>
      <c r="D137" s="6"/>
      <c r="E137" s="6"/>
      <c r="F137" s="6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8.25" customHeight="1" x14ac:dyDescent="0.3">
      <c r="A138" s="4"/>
      <c r="B138" s="4"/>
      <c r="C138" s="4"/>
      <c r="D138" s="6"/>
      <c r="E138" s="6"/>
      <c r="F138" s="6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8.25" customHeight="1" x14ac:dyDescent="0.3">
      <c r="A139" s="4"/>
      <c r="B139" s="4"/>
      <c r="C139" s="4"/>
      <c r="D139" s="6"/>
      <c r="E139" s="6"/>
      <c r="F139" s="6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8.25" customHeight="1" x14ac:dyDescent="0.3">
      <c r="A140" s="4"/>
      <c r="B140" s="4"/>
      <c r="C140" s="4"/>
      <c r="D140" s="6"/>
      <c r="E140" s="6"/>
      <c r="F140" s="6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8.25" customHeight="1" x14ac:dyDescent="0.3">
      <c r="A141" s="4"/>
      <c r="B141" s="4"/>
      <c r="C141" s="4"/>
      <c r="D141" s="6"/>
      <c r="E141" s="6"/>
      <c r="F141" s="6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8.25" customHeight="1" x14ac:dyDescent="0.3">
      <c r="A142" s="4"/>
      <c r="B142" s="4"/>
      <c r="C142" s="4"/>
      <c r="D142" s="6"/>
      <c r="E142" s="6"/>
      <c r="F142" s="6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8.25" customHeight="1" x14ac:dyDescent="0.3">
      <c r="A143" s="4"/>
      <c r="B143" s="4"/>
      <c r="C143" s="4"/>
      <c r="D143" s="6"/>
      <c r="E143" s="6"/>
      <c r="F143" s="6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8.25" customHeight="1" x14ac:dyDescent="0.3">
      <c r="A144" s="4"/>
      <c r="B144" s="4"/>
      <c r="C144" s="4"/>
      <c r="D144" s="6"/>
      <c r="E144" s="6"/>
      <c r="F144" s="6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8.25" customHeight="1" x14ac:dyDescent="0.3">
      <c r="A145" s="4"/>
      <c r="B145" s="4"/>
      <c r="C145" s="4"/>
      <c r="D145" s="6"/>
      <c r="E145" s="6"/>
      <c r="F145" s="6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8.25" customHeight="1" x14ac:dyDescent="0.3">
      <c r="A146" s="4"/>
      <c r="B146" s="4"/>
      <c r="C146" s="4"/>
      <c r="D146" s="6"/>
      <c r="E146" s="6"/>
      <c r="F146" s="6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8.25" customHeight="1" x14ac:dyDescent="0.3">
      <c r="A147" s="4"/>
      <c r="B147" s="4"/>
      <c r="C147" s="4"/>
      <c r="D147" s="6"/>
      <c r="E147" s="6"/>
      <c r="F147" s="6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8.25" customHeight="1" x14ac:dyDescent="0.3">
      <c r="A148" s="4"/>
      <c r="B148" s="4"/>
      <c r="C148" s="4"/>
      <c r="D148" s="6"/>
      <c r="E148" s="6"/>
      <c r="F148" s="6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8.25" customHeight="1" x14ac:dyDescent="0.3">
      <c r="A149" s="4"/>
      <c r="B149" s="4"/>
      <c r="C149" s="4"/>
      <c r="D149" s="6"/>
      <c r="E149" s="6"/>
      <c r="F149" s="6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8.25" customHeight="1" x14ac:dyDescent="0.3">
      <c r="A150" s="4"/>
      <c r="B150" s="4"/>
      <c r="C150" s="4"/>
      <c r="D150" s="6"/>
      <c r="E150" s="6"/>
      <c r="F150" s="6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8.25" customHeight="1" x14ac:dyDescent="0.3">
      <c r="A151" s="4"/>
      <c r="B151" s="4"/>
      <c r="C151" s="4"/>
      <c r="D151" s="6"/>
      <c r="E151" s="6"/>
      <c r="F151" s="6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8.25" customHeight="1" x14ac:dyDescent="0.3">
      <c r="A152" s="4"/>
      <c r="B152" s="4"/>
      <c r="C152" s="4"/>
      <c r="D152" s="6"/>
      <c r="E152" s="6"/>
      <c r="F152" s="6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8.25" customHeight="1" x14ac:dyDescent="0.3">
      <c r="A153" s="4"/>
      <c r="B153" s="4"/>
      <c r="C153" s="4"/>
      <c r="D153" s="6"/>
      <c r="E153" s="6"/>
      <c r="F153" s="6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8.25" customHeight="1" x14ac:dyDescent="0.3">
      <c r="A154" s="4"/>
      <c r="B154" s="4"/>
      <c r="C154" s="4"/>
      <c r="D154" s="6"/>
      <c r="E154" s="6"/>
      <c r="F154" s="6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8.25" customHeight="1" x14ac:dyDescent="0.3">
      <c r="A155" s="4"/>
      <c r="B155" s="4"/>
      <c r="C155" s="4"/>
      <c r="D155" s="6"/>
      <c r="E155" s="6"/>
      <c r="F155" s="6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8.25" customHeight="1" x14ac:dyDescent="0.3">
      <c r="A156" s="4"/>
      <c r="B156" s="4"/>
      <c r="C156" s="4"/>
      <c r="D156" s="6"/>
      <c r="E156" s="6"/>
      <c r="F156" s="6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8.25" customHeight="1" x14ac:dyDescent="0.3">
      <c r="A157" s="4"/>
      <c r="B157" s="4"/>
      <c r="C157" s="4"/>
      <c r="D157" s="6"/>
      <c r="E157" s="6"/>
      <c r="F157" s="6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8.25" customHeight="1" x14ac:dyDescent="0.3">
      <c r="A158" s="4"/>
      <c r="B158" s="4"/>
      <c r="C158" s="4"/>
      <c r="D158" s="6"/>
      <c r="E158" s="6"/>
      <c r="F158" s="6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8.25" customHeight="1" x14ac:dyDescent="0.3">
      <c r="A159" s="4"/>
      <c r="B159" s="4"/>
      <c r="C159" s="4"/>
      <c r="D159" s="6"/>
      <c r="E159" s="6"/>
      <c r="F159" s="6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8.25" customHeight="1" x14ac:dyDescent="0.3">
      <c r="A160" s="4"/>
      <c r="B160" s="4"/>
      <c r="C160" s="4"/>
      <c r="D160" s="6"/>
      <c r="E160" s="6"/>
      <c r="F160" s="6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8.25" customHeight="1" x14ac:dyDescent="0.3">
      <c r="A161" s="4"/>
      <c r="B161" s="4"/>
      <c r="C161" s="4"/>
      <c r="D161" s="6"/>
      <c r="E161" s="6"/>
      <c r="F161" s="6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8.25" customHeight="1" x14ac:dyDescent="0.3">
      <c r="A162" s="4"/>
      <c r="B162" s="4"/>
      <c r="C162" s="4"/>
      <c r="D162" s="6"/>
      <c r="E162" s="6"/>
      <c r="F162" s="6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8.25" customHeight="1" x14ac:dyDescent="0.3">
      <c r="A163" s="4"/>
      <c r="B163" s="4"/>
      <c r="C163" s="4"/>
      <c r="D163" s="6"/>
      <c r="E163" s="6"/>
      <c r="F163" s="6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8.25" customHeight="1" x14ac:dyDescent="0.3">
      <c r="A164" s="4"/>
      <c r="B164" s="4"/>
      <c r="C164" s="4"/>
      <c r="D164" s="6"/>
      <c r="E164" s="6"/>
      <c r="F164" s="6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8.25" customHeight="1" x14ac:dyDescent="0.3">
      <c r="A165" s="4"/>
      <c r="B165" s="4"/>
      <c r="C165" s="4"/>
      <c r="D165" s="6"/>
      <c r="E165" s="6"/>
      <c r="F165" s="6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8.25" customHeight="1" x14ac:dyDescent="0.3">
      <c r="A166" s="4"/>
      <c r="B166" s="4"/>
      <c r="C166" s="4"/>
      <c r="D166" s="6"/>
      <c r="E166" s="6"/>
      <c r="F166" s="6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8.25" customHeight="1" x14ac:dyDescent="0.3">
      <c r="A167" s="4"/>
      <c r="B167" s="4"/>
      <c r="C167" s="4"/>
      <c r="D167" s="6"/>
      <c r="E167" s="6"/>
      <c r="F167" s="6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8.25" customHeight="1" x14ac:dyDescent="0.3">
      <c r="A168" s="4"/>
      <c r="B168" s="4"/>
      <c r="C168" s="4"/>
      <c r="D168" s="6"/>
      <c r="E168" s="6"/>
      <c r="F168" s="6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8.25" customHeight="1" x14ac:dyDescent="0.3">
      <c r="A169" s="4"/>
      <c r="B169" s="4"/>
      <c r="C169" s="4"/>
      <c r="D169" s="6"/>
      <c r="E169" s="6"/>
      <c r="F169" s="6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8.25" customHeight="1" x14ac:dyDescent="0.3">
      <c r="A170" s="4"/>
      <c r="B170" s="4"/>
      <c r="C170" s="4"/>
      <c r="D170" s="6"/>
      <c r="E170" s="6"/>
      <c r="F170" s="6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8.25" customHeight="1" x14ac:dyDescent="0.3">
      <c r="A171" s="4"/>
      <c r="B171" s="4"/>
      <c r="C171" s="4"/>
      <c r="D171" s="6"/>
      <c r="E171" s="6"/>
      <c r="F171" s="6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8.25" customHeight="1" x14ac:dyDescent="0.3">
      <c r="A172" s="4"/>
      <c r="B172" s="4"/>
      <c r="C172" s="4"/>
      <c r="D172" s="6"/>
      <c r="E172" s="6"/>
      <c r="F172" s="6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8.25" customHeight="1" x14ac:dyDescent="0.3">
      <c r="A173" s="4"/>
      <c r="B173" s="4"/>
      <c r="C173" s="4"/>
      <c r="D173" s="6"/>
      <c r="E173" s="6"/>
      <c r="F173" s="6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8.25" customHeight="1" x14ac:dyDescent="0.3">
      <c r="A174" s="4"/>
      <c r="B174" s="4"/>
      <c r="C174" s="4"/>
      <c r="D174" s="6"/>
      <c r="E174" s="6"/>
      <c r="F174" s="6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8.25" customHeight="1" x14ac:dyDescent="0.3">
      <c r="A175" s="4"/>
      <c r="B175" s="4"/>
      <c r="C175" s="4"/>
      <c r="D175" s="6"/>
      <c r="E175" s="6"/>
      <c r="F175" s="6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8.25" customHeight="1" x14ac:dyDescent="0.3">
      <c r="A176" s="4"/>
      <c r="B176" s="4"/>
      <c r="C176" s="4"/>
      <c r="D176" s="6"/>
      <c r="E176" s="6"/>
      <c r="F176" s="6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8.25" customHeight="1" x14ac:dyDescent="0.3">
      <c r="A177" s="4"/>
      <c r="B177" s="4"/>
      <c r="C177" s="4"/>
      <c r="D177" s="6"/>
      <c r="E177" s="6"/>
      <c r="F177" s="6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8.25" customHeight="1" x14ac:dyDescent="0.3">
      <c r="A178" s="4"/>
      <c r="B178" s="4"/>
      <c r="C178" s="4"/>
      <c r="D178" s="6"/>
      <c r="E178" s="6"/>
      <c r="F178" s="6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8.25" customHeight="1" x14ac:dyDescent="0.3">
      <c r="A179" s="4"/>
      <c r="B179" s="4"/>
      <c r="C179" s="4"/>
      <c r="D179" s="6"/>
      <c r="E179" s="6"/>
      <c r="F179" s="6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8.25" customHeight="1" x14ac:dyDescent="0.3">
      <c r="A180" s="4"/>
      <c r="B180" s="4"/>
      <c r="C180" s="4"/>
      <c r="D180" s="6"/>
      <c r="E180" s="6"/>
      <c r="F180" s="6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8.25" customHeight="1" x14ac:dyDescent="0.3">
      <c r="A181" s="4"/>
      <c r="B181" s="4"/>
      <c r="C181" s="4"/>
      <c r="D181" s="6"/>
      <c r="E181" s="6"/>
      <c r="F181" s="6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8.25" customHeight="1" x14ac:dyDescent="0.3">
      <c r="A182" s="4"/>
      <c r="B182" s="4"/>
      <c r="C182" s="4"/>
      <c r="D182" s="6"/>
      <c r="E182" s="6"/>
      <c r="F182" s="6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8.25" customHeight="1" x14ac:dyDescent="0.3">
      <c r="A183" s="4"/>
      <c r="B183" s="4"/>
      <c r="C183" s="4"/>
      <c r="D183" s="6"/>
      <c r="E183" s="6"/>
      <c r="F183" s="6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8.25" customHeight="1" x14ac:dyDescent="0.3">
      <c r="A184" s="4"/>
      <c r="B184" s="4"/>
      <c r="C184" s="4"/>
      <c r="D184" s="6"/>
      <c r="E184" s="6"/>
      <c r="F184" s="6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8.25" customHeight="1" x14ac:dyDescent="0.3">
      <c r="A185" s="4"/>
      <c r="B185" s="4"/>
      <c r="C185" s="4"/>
      <c r="D185" s="6"/>
      <c r="E185" s="6"/>
      <c r="F185" s="6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8.25" customHeight="1" x14ac:dyDescent="0.3">
      <c r="A186" s="4"/>
      <c r="B186" s="4"/>
      <c r="C186" s="4"/>
      <c r="D186" s="6"/>
      <c r="E186" s="6"/>
      <c r="F186" s="6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8.25" customHeight="1" x14ac:dyDescent="0.3">
      <c r="A187" s="4"/>
      <c r="B187" s="4"/>
      <c r="C187" s="4"/>
      <c r="D187" s="6"/>
      <c r="E187" s="6"/>
      <c r="F187" s="6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8.25" customHeight="1" x14ac:dyDescent="0.3">
      <c r="A188" s="4"/>
      <c r="B188" s="4"/>
      <c r="C188" s="4"/>
      <c r="D188" s="6"/>
      <c r="E188" s="6"/>
      <c r="F188" s="6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8.25" customHeight="1" x14ac:dyDescent="0.3">
      <c r="A189" s="4"/>
      <c r="B189" s="4"/>
      <c r="C189" s="4"/>
      <c r="D189" s="6"/>
      <c r="E189" s="6"/>
      <c r="F189" s="6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8.25" customHeight="1" x14ac:dyDescent="0.3">
      <c r="A190" s="4"/>
      <c r="B190" s="4"/>
      <c r="C190" s="4"/>
      <c r="D190" s="6"/>
      <c r="E190" s="6"/>
      <c r="F190" s="6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8.25" customHeight="1" x14ac:dyDescent="0.3">
      <c r="A191" s="4"/>
      <c r="B191" s="4"/>
      <c r="C191" s="4"/>
      <c r="D191" s="6"/>
      <c r="E191" s="6"/>
      <c r="F191" s="6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8.25" customHeight="1" x14ac:dyDescent="0.3">
      <c r="A192" s="4"/>
      <c r="B192" s="4"/>
      <c r="C192" s="4"/>
      <c r="D192" s="6"/>
      <c r="E192" s="6"/>
      <c r="F192" s="6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8.25" customHeight="1" x14ac:dyDescent="0.3">
      <c r="A193" s="4"/>
      <c r="B193" s="4"/>
      <c r="C193" s="4"/>
      <c r="D193" s="6"/>
      <c r="E193" s="6"/>
      <c r="F193" s="6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8.25" customHeight="1" x14ac:dyDescent="0.3">
      <c r="A194" s="4"/>
      <c r="B194" s="4"/>
      <c r="C194" s="4"/>
      <c r="D194" s="6"/>
      <c r="E194" s="6"/>
      <c r="F194" s="6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8.25" customHeight="1" x14ac:dyDescent="0.3">
      <c r="A195" s="4"/>
      <c r="B195" s="4"/>
      <c r="C195" s="4"/>
      <c r="D195" s="6"/>
      <c r="E195" s="6"/>
      <c r="F195" s="6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8.25" customHeight="1" x14ac:dyDescent="0.3">
      <c r="A196" s="4"/>
      <c r="B196" s="4"/>
      <c r="C196" s="4"/>
      <c r="D196" s="6"/>
      <c r="E196" s="6"/>
      <c r="F196" s="6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8.25" customHeight="1" x14ac:dyDescent="0.3">
      <c r="A197" s="4"/>
      <c r="B197" s="4"/>
      <c r="C197" s="4"/>
      <c r="D197" s="6"/>
      <c r="E197" s="6"/>
      <c r="F197" s="6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8.25" customHeight="1" x14ac:dyDescent="0.3">
      <c r="A198" s="4"/>
      <c r="B198" s="4"/>
      <c r="C198" s="4"/>
      <c r="D198" s="6"/>
      <c r="E198" s="6"/>
      <c r="F198" s="6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8.25" customHeight="1" x14ac:dyDescent="0.3">
      <c r="A199" s="4"/>
      <c r="B199" s="4"/>
      <c r="C199" s="4"/>
      <c r="D199" s="6"/>
      <c r="E199" s="6"/>
      <c r="F199" s="6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8.25" customHeight="1" x14ac:dyDescent="0.3">
      <c r="A200" s="4"/>
      <c r="B200" s="4"/>
      <c r="C200" s="4"/>
      <c r="D200" s="6"/>
      <c r="E200" s="6"/>
      <c r="F200" s="6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8.25" customHeight="1" x14ac:dyDescent="0.3">
      <c r="A201" s="4"/>
      <c r="B201" s="4"/>
      <c r="C201" s="4"/>
      <c r="D201" s="6"/>
      <c r="E201" s="6"/>
      <c r="F201" s="6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8.25" customHeight="1" x14ac:dyDescent="0.3">
      <c r="A202" s="4"/>
      <c r="B202" s="4"/>
      <c r="C202" s="4"/>
      <c r="D202" s="6"/>
      <c r="E202" s="6"/>
      <c r="F202" s="6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8.25" customHeight="1" x14ac:dyDescent="0.3">
      <c r="A203" s="4"/>
      <c r="B203" s="4"/>
      <c r="C203" s="4"/>
      <c r="D203" s="6"/>
      <c r="E203" s="6"/>
      <c r="F203" s="6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8.25" customHeight="1" x14ac:dyDescent="0.3">
      <c r="A204" s="4"/>
      <c r="B204" s="4"/>
      <c r="C204" s="4"/>
      <c r="D204" s="6"/>
      <c r="E204" s="6"/>
      <c r="F204" s="6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8.25" customHeight="1" x14ac:dyDescent="0.3">
      <c r="A205" s="4"/>
      <c r="B205" s="4"/>
      <c r="C205" s="4"/>
      <c r="D205" s="6"/>
      <c r="E205" s="6"/>
      <c r="F205" s="6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8.25" customHeight="1" x14ac:dyDescent="0.3">
      <c r="A206" s="4"/>
      <c r="B206" s="4"/>
      <c r="C206" s="4"/>
      <c r="D206" s="6"/>
      <c r="E206" s="6"/>
      <c r="F206" s="6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8.25" customHeight="1" x14ac:dyDescent="0.3">
      <c r="A207" s="4"/>
      <c r="B207" s="4"/>
      <c r="C207" s="4"/>
      <c r="D207" s="6"/>
      <c r="E207" s="6"/>
      <c r="F207" s="6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8.25" customHeight="1" x14ac:dyDescent="0.3">
      <c r="A208" s="4"/>
      <c r="B208" s="4"/>
      <c r="C208" s="4"/>
      <c r="D208" s="6"/>
      <c r="E208" s="6"/>
      <c r="F208" s="6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8.25" customHeight="1" x14ac:dyDescent="0.3">
      <c r="A209" s="4"/>
      <c r="B209" s="4"/>
      <c r="C209" s="4"/>
      <c r="D209" s="6"/>
      <c r="E209" s="6"/>
      <c r="F209" s="6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8.25" customHeight="1" x14ac:dyDescent="0.3">
      <c r="A210" s="4"/>
      <c r="B210" s="4"/>
      <c r="C210" s="4"/>
      <c r="D210" s="6"/>
      <c r="E210" s="6"/>
      <c r="F210" s="6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8.25" customHeight="1" x14ac:dyDescent="0.3">
      <c r="A211" s="4"/>
      <c r="B211" s="4"/>
      <c r="C211" s="4"/>
      <c r="D211" s="6"/>
      <c r="E211" s="6"/>
      <c r="F211" s="6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8.25" customHeight="1" x14ac:dyDescent="0.3">
      <c r="A212" s="4"/>
      <c r="B212" s="4"/>
      <c r="C212" s="4"/>
      <c r="D212" s="6"/>
      <c r="E212" s="6"/>
      <c r="F212" s="6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8.25" customHeight="1" x14ac:dyDescent="0.3">
      <c r="A213" s="4"/>
      <c r="B213" s="4"/>
      <c r="C213" s="4"/>
      <c r="D213" s="6"/>
      <c r="E213" s="6"/>
      <c r="F213" s="6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8.25" customHeight="1" x14ac:dyDescent="0.3">
      <c r="A214" s="4"/>
      <c r="B214" s="4"/>
      <c r="C214" s="4"/>
      <c r="D214" s="6"/>
      <c r="E214" s="6"/>
      <c r="F214" s="6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8.25" customHeight="1" x14ac:dyDescent="0.3">
      <c r="A215" s="4"/>
      <c r="B215" s="4"/>
      <c r="C215" s="4"/>
      <c r="D215" s="6"/>
      <c r="E215" s="6"/>
      <c r="F215" s="6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8.25" customHeight="1" x14ac:dyDescent="0.3">
      <c r="A216" s="4"/>
      <c r="B216" s="4"/>
      <c r="C216" s="4"/>
      <c r="D216" s="6"/>
      <c r="E216" s="6"/>
      <c r="F216" s="6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8.25" customHeight="1" x14ac:dyDescent="0.3">
      <c r="A217" s="4"/>
      <c r="B217" s="4"/>
      <c r="C217" s="4"/>
      <c r="D217" s="6"/>
      <c r="E217" s="6"/>
      <c r="F217" s="6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/>
    <row r="219" spans="1:26" ht="15.75" customHeight="1" x14ac:dyDescent="0.25"/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9">
    <mergeCell ref="B11:D11"/>
    <mergeCell ref="B12:D12"/>
    <mergeCell ref="A2:G2"/>
    <mergeCell ref="A6:C6"/>
    <mergeCell ref="A9:C9"/>
    <mergeCell ref="F9:G9"/>
    <mergeCell ref="A10:B10"/>
    <mergeCell ref="C10:E10"/>
    <mergeCell ref="F10:G10"/>
  </mergeCells>
  <printOptions horizontalCentered="1"/>
  <pageMargins left="0.53" right="0.27559055118110198" top="0.65" bottom="0.15748031496063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91"/>
  <sheetViews>
    <sheetView workbookViewId="0">
      <selection activeCell="E13" sqref="E13"/>
    </sheetView>
  </sheetViews>
  <sheetFormatPr defaultColWidth="12.59765625" defaultRowHeight="15" customHeight="1" x14ac:dyDescent="0.25"/>
  <cols>
    <col min="1" max="1" width="4.8984375" bestFit="1" customWidth="1"/>
    <col min="2" max="2" width="11.3984375" bestFit="1" customWidth="1"/>
    <col min="3" max="3" width="18.19921875" bestFit="1" customWidth="1"/>
    <col min="4" max="4" width="15.296875" customWidth="1"/>
    <col min="5" max="5" width="17.8984375" bestFit="1" customWidth="1"/>
    <col min="6" max="6" width="12.5" customWidth="1"/>
    <col min="7" max="7" width="34.5" bestFit="1" customWidth="1"/>
    <col min="8" max="26" width="14.3984375" customWidth="1"/>
  </cols>
  <sheetData>
    <row r="2" spans="1:7" ht="14.4" x14ac:dyDescent="0.3">
      <c r="A2" s="32" t="s">
        <v>26</v>
      </c>
      <c r="B2" s="32" t="s">
        <v>27</v>
      </c>
      <c r="C2" s="32" t="s">
        <v>28</v>
      </c>
      <c r="D2" s="32" t="s">
        <v>29</v>
      </c>
      <c r="E2" s="32" t="s">
        <v>30</v>
      </c>
      <c r="F2" s="32" t="s">
        <v>31</v>
      </c>
      <c r="G2" s="32" t="s">
        <v>37</v>
      </c>
    </row>
    <row r="3" spans="1:7" ht="14.4" x14ac:dyDescent="0.3">
      <c r="A3" s="33">
        <v>1</v>
      </c>
      <c r="B3" s="33" t="s">
        <v>47</v>
      </c>
      <c r="C3" s="40">
        <v>50100704032944</v>
      </c>
      <c r="D3" s="41" t="s">
        <v>48</v>
      </c>
      <c r="E3" s="34" t="s">
        <v>49</v>
      </c>
      <c r="F3" s="34" t="s">
        <v>50</v>
      </c>
      <c r="G3" s="33" t="s">
        <v>51</v>
      </c>
    </row>
    <row r="4" spans="1:7" ht="15" customHeight="1" x14ac:dyDescent="0.25">
      <c r="A4" s="35"/>
      <c r="B4" s="36"/>
      <c r="C4" s="37"/>
      <c r="D4" s="36"/>
      <c r="E4" s="36"/>
      <c r="F4" s="36"/>
      <c r="G4" s="35"/>
    </row>
    <row r="5" spans="1:7" ht="13.8" x14ac:dyDescent="0.25">
      <c r="E5" s="23"/>
    </row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Count</vt:lpstr>
      <vt:lpstr>Payment details</vt:lpstr>
      <vt:lpstr>Bank details of faculties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 STAFF02</dc:creator>
  <cp:lastModifiedBy>user</cp:lastModifiedBy>
  <dcterms:created xsi:type="dcterms:W3CDTF">2020-05-04T04:28:35Z</dcterms:created>
  <dcterms:modified xsi:type="dcterms:W3CDTF">2025-12-01T17:05:39Z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C:\Users\sanji\Downloads\Priyavarthini-March 2024 (1).xlsx</vt:lpwstr>
  </property>
</Properties>
</file>