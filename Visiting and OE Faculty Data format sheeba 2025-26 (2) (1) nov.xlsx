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CA\"/>
    </mc:Choice>
  </mc:AlternateContent>
  <bookViews>
    <workbookView xWindow="0" yWindow="0" windowWidth="6912" windowHeight="1728"/>
  </bookViews>
  <sheets>
    <sheet name="Session Count" sheetId="1" r:id="rId1"/>
    <sheet name="Payment details" sheetId="2" r:id="rId2"/>
    <sheet name="Bank details of faculties" sheetId="3" r:id="rId3"/>
  </sheets>
  <definedNames>
    <definedName name="_xlnm._FilterDatabase" localSheetId="0" hidden="1">'Session Count'!$A$5:$N$39</definedName>
  </definedNames>
  <calcPr calcId="152511"/>
  <extLst>
    <ext uri="GoogleSheetsCustomDataVersion2">
      <go:sheetsCustomData xmlns:go="http://customooxmlschemas.google.com/" r:id="rId7" roundtripDataChecksum="fDBwNJu7udwp8DCO+D51EqBjY0OuI3Nuy79Sj6y1l0M="/>
    </ext>
  </extLst>
</workbook>
</file>

<file path=xl/calcChain.xml><?xml version="1.0" encoding="utf-8"?>
<calcChain xmlns="http://schemas.openxmlformats.org/spreadsheetml/2006/main">
  <c r="M19" i="1" l="1"/>
  <c r="E4" i="2" l="1"/>
  <c r="F4" i="2" l="1"/>
  <c r="G4" i="2" s="1"/>
  <c r="E6" i="2"/>
  <c r="F6" i="2" s="1"/>
  <c r="G6" i="2" l="1"/>
</calcChain>
</file>

<file path=xl/sharedStrings.xml><?xml version="1.0" encoding="utf-8"?>
<sst xmlns="http://schemas.openxmlformats.org/spreadsheetml/2006/main" count="79" uniqueCount="57">
  <si>
    <t>Sl.No.</t>
  </si>
  <si>
    <t xml:space="preserve">Faculty Name </t>
  </si>
  <si>
    <t>Program</t>
  </si>
  <si>
    <t>Subject</t>
  </si>
  <si>
    <t>Batch</t>
  </si>
  <si>
    <t>Semester</t>
  </si>
  <si>
    <t>Date</t>
  </si>
  <si>
    <t>Section</t>
  </si>
  <si>
    <t>Time</t>
  </si>
  <si>
    <t xml:space="preserve">Duration
</t>
  </si>
  <si>
    <t>Total No. of Classes/ hours taken</t>
  </si>
  <si>
    <t>In</t>
  </si>
  <si>
    <t>Out</t>
  </si>
  <si>
    <t>BCA</t>
  </si>
  <si>
    <t xml:space="preserve">Date: </t>
  </si>
  <si>
    <t>Authorising Authority</t>
  </si>
  <si>
    <t>Campus</t>
  </si>
  <si>
    <t>LOGO</t>
  </si>
  <si>
    <t>Sl.No</t>
  </si>
  <si>
    <t>Name</t>
  </si>
  <si>
    <t xml:space="preserve">Total Hours of class Taken </t>
  </si>
  <si>
    <t>Amount 
Paying per Hour/class</t>
  </si>
  <si>
    <t>Total Amount</t>
  </si>
  <si>
    <t>TDS (10%)</t>
  </si>
  <si>
    <t>Total Amount
after TDS</t>
  </si>
  <si>
    <t>Total</t>
  </si>
  <si>
    <t>Sl No</t>
  </si>
  <si>
    <t>Faculty Name</t>
  </si>
  <si>
    <t>Bank Account Number</t>
  </si>
  <si>
    <t>IFSC Code</t>
  </si>
  <si>
    <t>Bank Name</t>
  </si>
  <si>
    <t>PAN Number</t>
  </si>
  <si>
    <t>Total Hours</t>
  </si>
  <si>
    <t>Program Co Ordinator</t>
  </si>
  <si>
    <t>Signature of the HOD</t>
  </si>
  <si>
    <t>Signature of the Dy. Director</t>
  </si>
  <si>
    <t>Signature of the Director</t>
  </si>
  <si>
    <t>Branch</t>
  </si>
  <si>
    <t>Payment for Visiting Faculty for the Month of May 2025</t>
  </si>
  <si>
    <t>Date: 05.08.2025</t>
  </si>
  <si>
    <t>Ms.sheeba selvapattu</t>
  </si>
  <si>
    <t>Problem Solving Technique</t>
  </si>
  <si>
    <t>2025-2028</t>
  </si>
  <si>
    <t>PST</t>
  </si>
  <si>
    <t>BCA C</t>
  </si>
  <si>
    <t>PST LAB</t>
  </si>
  <si>
    <t>Mr. Sheeba Selvapattu</t>
  </si>
  <si>
    <t xml:space="preserve">Sheeba Selvapattu </t>
  </si>
  <si>
    <t xml:space="preserve"> HDFC0004367</t>
  </si>
  <si>
    <t>HDFC</t>
  </si>
  <si>
    <t>BDJPJ 6837M</t>
  </si>
  <si>
    <t xml:space="preserve">HRBR layout Bengaluru </t>
  </si>
  <si>
    <t xml:space="preserve">  11:40:00</t>
  </si>
  <si>
    <t xml:space="preserve">  11:40</t>
  </si>
  <si>
    <t>pratical</t>
  </si>
  <si>
    <t>theory</t>
  </si>
  <si>
    <t>Session Count of  Visiting Faculty for the month of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</si>
</sst>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&quot;:&quot;mm"/>
  </numFmts>
  <fonts count="28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2"/>
      <color theme="1"/>
      <name val="Calibri"/>
      <family val="2"/>
    </font>
    <font>
      <sz val="2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sz val="9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2"/>
      <color theme="1"/>
      <name val="Cambria"/>
      <family val="1"/>
    </font>
    <font>
      <b/>
      <sz val="10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  <font>
      <sz val="8"/>
      <name val="Arial"/>
      <scheme val="minor"/>
    </font>
    <font>
      <b/>
      <sz val="9"/>
      <name val="Arial"/>
      <family val="2"/>
      <scheme val="minor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2" fontId="6" fillId="0" borderId="0" xfId="0" applyNumberFormat="1" applyFont="1"/>
    <xf numFmtId="0" fontId="9" fillId="0" borderId="3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9" fillId="0" borderId="0" xfId="0" applyFont="1"/>
    <xf numFmtId="0" fontId="12" fillId="0" borderId="0" xfId="0" applyFont="1"/>
    <xf numFmtId="0" fontId="16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wrapText="1"/>
    </xf>
    <xf numFmtId="0" fontId="18" fillId="0" borderId="0" xfId="1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0" fillId="0" borderId="0" xfId="0" applyFont="1" applyAlignment="1">
      <alignment vertical="center"/>
    </xf>
    <xf numFmtId="0" fontId="10" fillId="4" borderId="5" xfId="0" applyFont="1" applyFill="1" applyBorder="1" applyAlignment="1">
      <alignment horizontal="center"/>
    </xf>
    <xf numFmtId="0" fontId="11" fillId="0" borderId="5" xfId="0" applyFont="1" applyBorder="1"/>
    <xf numFmtId="0" fontId="10" fillId="0" borderId="5" xfId="0" applyFont="1" applyBorder="1"/>
    <xf numFmtId="0" fontId="0" fillId="0" borderId="5" xfId="0" applyBorder="1"/>
    <xf numFmtId="0" fontId="13" fillId="0" borderId="5" xfId="0" applyFont="1" applyBorder="1"/>
    <xf numFmtId="0" fontId="13" fillId="0" borderId="5" xfId="0" quotePrefix="1" applyFont="1" applyBorder="1"/>
    <xf numFmtId="0" fontId="18" fillId="0" borderId="0" xfId="1" applyFont="1" applyAlignment="1">
      <alignment horizontal="center" vertical="center"/>
    </xf>
    <xf numFmtId="0" fontId="23" fillId="0" borderId="0" xfId="1" applyFont="1"/>
    <xf numFmtId="1" fontId="10" fillId="0" borderId="5" xfId="0" applyNumberFormat="1" applyFont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1" applyFont="1" applyAlignment="1">
      <alignment horizontal="center" wrapText="1"/>
    </xf>
    <xf numFmtId="0" fontId="26" fillId="5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wrapText="1"/>
    </xf>
    <xf numFmtId="20" fontId="16" fillId="0" borderId="6" xfId="1" applyNumberFormat="1" applyFont="1" applyBorder="1" applyAlignment="1">
      <alignment horizontal="center"/>
    </xf>
    <xf numFmtId="20" fontId="16" fillId="0" borderId="5" xfId="1" applyNumberFormat="1" applyFont="1" applyBorder="1" applyAlignment="1">
      <alignment horizontal="center"/>
    </xf>
    <xf numFmtId="0" fontId="16" fillId="0" borderId="5" xfId="1" applyFont="1" applyBorder="1" applyAlignment="1">
      <alignment horizontal="center"/>
    </xf>
    <xf numFmtId="20" fontId="16" fillId="7" borderId="5" xfId="1" applyNumberFormat="1" applyFont="1" applyFill="1" applyBorder="1" applyAlignment="1">
      <alignment horizontal="center"/>
    </xf>
    <xf numFmtId="0" fontId="16" fillId="7" borderId="6" xfId="1" applyFont="1" applyFill="1" applyBorder="1" applyAlignment="1">
      <alignment horizontal="center" wrapText="1"/>
    </xf>
    <xf numFmtId="0" fontId="16" fillId="7" borderId="5" xfId="1" applyFont="1" applyFill="1" applyBorder="1" applyAlignment="1">
      <alignment horizontal="center" wrapText="1"/>
    </xf>
    <xf numFmtId="0" fontId="27" fillId="0" borderId="5" xfId="1" applyFont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4" fillId="0" borderId="0" xfId="0" applyFont="1"/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 wrapText="1"/>
    </xf>
    <xf numFmtId="0" fontId="18" fillId="5" borderId="5" xfId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19" fillId="2" borderId="7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/>
    </xf>
    <xf numFmtId="0" fontId="19" fillId="2" borderId="8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8" fillId="0" borderId="4" xfId="0" applyFont="1" applyBorder="1" applyAlignment="1">
      <alignment horizontal="center" vertical="center"/>
    </xf>
    <xf numFmtId="0" fontId="5" fillId="0" borderId="4" xfId="0" applyFont="1" applyBorder="1"/>
    <xf numFmtId="0" fontId="9" fillId="0" borderId="1" xfId="0" applyFont="1" applyBorder="1" applyAlignment="1">
      <alignment horizontal="center" vertical="center"/>
    </xf>
    <xf numFmtId="0" fontId="5" fillId="0" borderId="2" xfId="0" applyFont="1" applyBorder="1"/>
    <xf numFmtId="0" fontId="9" fillId="0" borderId="0" xfId="0" applyFont="1" applyAlignment="1">
      <alignment horizontal="center" vertical="center"/>
    </xf>
    <xf numFmtId="0" fontId="16" fillId="0" borderId="5" xfId="1" applyFont="1" applyBorder="1" applyAlignment="1"/>
    <xf numFmtId="22" fontId="16" fillId="0" borderId="6" xfId="1" applyNumberFormat="1" applyFont="1" applyBorder="1" applyAlignment="1">
      <alignment horizontal="center"/>
    </xf>
    <xf numFmtId="0" fontId="16" fillId="0" borderId="6" xfId="1" applyFont="1" applyBorder="1" applyAlignment="1">
      <alignment horizontal="center" wrapText="1"/>
    </xf>
    <xf numFmtId="0" fontId="16" fillId="0" borderId="7" xfId="1" applyFont="1" applyBorder="1" applyAlignment="1">
      <alignment horizontal="center" wrapText="1"/>
    </xf>
    <xf numFmtId="14" fontId="19" fillId="6" borderId="6" xfId="1" applyNumberFormat="1" applyFont="1" applyFill="1" applyBorder="1" applyAlignment="1">
      <alignment horizontal="center" vertical="center"/>
    </xf>
    <xf numFmtId="14" fontId="19" fillId="6" borderId="7" xfId="1" applyNumberFormat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/>
    </xf>
    <xf numFmtId="0" fontId="16" fillId="0" borderId="6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B5B90AD3-4CAB-4D7F-A699-771039FCE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20419A00-EC66-4085-83CB-4B9823A33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C5427B3-706B-4678-A91C-A70EDB688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="" xmlns:a16="http://schemas.microsoft.com/office/drawing/2014/main" id="{66070B91-EF80-40F5-8D4F-19AA78690D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525" cy="9525"/>
    <xdr:pic>
      <xdr:nvPicPr>
        <xdr:cNvPr id="10" name="image2.gif">
          <a:extLst>
            <a:ext uri="{FF2B5EF4-FFF2-40B4-BE49-F238E27FC236}">
              <a16:creationId xmlns="" xmlns:a16="http://schemas.microsoft.com/office/drawing/2014/main" id="{BB507BE3-92AD-4574-9105-75E5E0A761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9525" cy="9525"/>
    <xdr:pic>
      <xdr:nvPicPr>
        <xdr:cNvPr id="11" name="image2.gif">
          <a:extLst>
            <a:ext uri="{FF2B5EF4-FFF2-40B4-BE49-F238E27FC236}">
              <a16:creationId xmlns="" xmlns:a16="http://schemas.microsoft.com/office/drawing/2014/main" id="{F2EC8624-1DD6-47E4-95F5-171C66254A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1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4A81853-BEDF-4EF6-A737-296F3AA29B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14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C4E9E764-8778-4022-8BA0-DF3E584F21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15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0C39BC8-C03D-4A4E-880A-98A7A7AFA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525" cy="9525"/>
    <xdr:pic>
      <xdr:nvPicPr>
        <xdr:cNvPr id="1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5975EA23-DC89-45ED-AB28-DE3FE13DF9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525" cy="9525"/>
    <xdr:pic>
      <xdr:nvPicPr>
        <xdr:cNvPr id="1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30F880AC-CD2B-40B2-9092-4DCFD0F7C2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525" cy="9525"/>
    <xdr:pic>
      <xdr:nvPicPr>
        <xdr:cNvPr id="1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270D41C-D86E-46CB-8F2F-BFEB4D36F0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19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53BB98BC-4D2D-4AA3-BA0E-A065812014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20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8460172F-B7E7-4012-806F-187897489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21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BEF3D1A8-2DAB-4193-943E-CF351CE687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1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51209A5-4051-47CE-9683-2AF359921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C49125C2-20D9-4D69-9602-C64601F2BF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D6784245-EDC4-4F9D-A6AF-1D765DE9C0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4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93A177CA-37F9-4E6F-9280-DC19B1BD3A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5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414A8F3-57DE-4D76-B5EB-C1BA960173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2942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211667</xdr:rowOff>
    </xdr:from>
    <xdr:ext cx="9525" cy="9525"/>
    <xdr:pic>
      <xdr:nvPicPr>
        <xdr:cNvPr id="2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F7121744-E0FF-45A6-B2C1-076CD14790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339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525" cy="9525"/>
    <xdr:pic>
      <xdr:nvPicPr>
        <xdr:cNvPr id="2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4FB81B84-6CD7-4B34-A09E-DB01A5BF1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525" cy="9525"/>
    <xdr:pic>
      <xdr:nvPicPr>
        <xdr:cNvPr id="2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92FB072-CCB8-403B-831A-8E353E40D7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525" cy="9525"/>
    <xdr:pic>
      <xdr:nvPicPr>
        <xdr:cNvPr id="29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33B05EF7-61CC-4C80-8CFD-8117C306E5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0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E6C5D53A-3B46-4CBF-B1A9-869A9911E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1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28918F9-AC89-402F-904C-81D44CBFD6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D5B6EDEF-5A1B-4AED-8BE7-C0BC32FDE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BA4373E0-CE63-43A8-8A5C-BE6509F3BF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4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E688374-A6D5-4E3C-97D4-147F46964F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5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393EFE8-01E4-4459-B527-BDCC3E12F5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24745DB4-E199-4FBF-9FA0-5139B27730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16C34A2C-466E-416D-89FB-49145ED7B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3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E41CC488-98F1-40F9-9F62-1570CEA4FC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39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92E1C511-F0A6-49A6-873D-643C99DB63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40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F8E0EEF3-A68D-431E-B2CA-78401B335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41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6BB9B86B-F9A4-41C9-BB1A-65CB8B6C92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4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BCD7FC26-AC16-416C-92AE-CEBE93172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4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9CEF1FE-C7DC-4342-9185-66D026BFB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9525" cy="9525"/>
    <xdr:pic>
      <xdr:nvPicPr>
        <xdr:cNvPr id="44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1929572D-AF3B-4A34-96A0-6B6F69457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45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C5F0C093-EBB8-4A5D-91D8-B5A39667B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4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7EF13027-A9F4-444D-A16F-7F28FBE845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4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2E397CF8-8227-4F28-85BA-7EE9D27B99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4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113D025E-0B9E-4F8A-A023-48CF46B546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49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5BDC14A7-6515-450E-9DDD-FE0CAD2192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0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C776707E-5D1D-4568-B05E-CC8A378426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1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D582018E-FC70-45B3-82FD-427BC64CBE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88E8A67-E5F7-40B6-A440-C89A73F233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3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3C8A0F36-54DC-4DF5-8112-0B16C47081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4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D1C2167E-A377-462E-9F4F-A553E201BA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5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A7103EEA-B017-4430-B2F9-A52484AB4E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1293CD9-9C23-499B-A053-878320E668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353B9267-BED0-4E25-9453-CF80AF92CB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20ABFBED-158D-4893-8088-524357FDA9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59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650F1F9F-EFA9-4599-9BFE-5F5678854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60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879265D8-5485-4A13-B276-693475B77C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61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8D9D1420-4322-483F-9B7D-9D94149DDA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525" cy="9525"/>
    <xdr:pic>
      <xdr:nvPicPr>
        <xdr:cNvPr id="62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8A5BF008-28FC-43F2-9690-CF86D6F85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525" cy="9525"/>
    <xdr:pic>
      <xdr:nvPicPr>
        <xdr:cNvPr id="63" name="image2.gif">
          <a:extLst>
            <a:ext uri="{FF2B5EF4-FFF2-40B4-BE49-F238E27FC236}">
              <a16:creationId xmlns="" xmlns:a16="http://schemas.microsoft.com/office/drawing/2014/main" id="{5518CC1C-CF4F-4763-80D8-4A1E0CDDF8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525" cy="9525"/>
    <xdr:pic>
      <xdr:nvPicPr>
        <xdr:cNvPr id="64" name="image2.gif">
          <a:extLst>
            <a:ext uri="{FF2B5EF4-FFF2-40B4-BE49-F238E27FC236}">
              <a16:creationId xmlns="" xmlns:a16="http://schemas.microsoft.com/office/drawing/2014/main" id="{A87B4478-54AA-4F48-9C0D-624FD1F3E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525" cy="9525"/>
    <xdr:pic>
      <xdr:nvPicPr>
        <xdr:cNvPr id="65" name="image2.gif">
          <a:extLst>
            <a:ext uri="{FF2B5EF4-FFF2-40B4-BE49-F238E27FC236}">
              <a16:creationId xmlns="" xmlns:a16="http://schemas.microsoft.com/office/drawing/2014/main" id="{9550AD49-3B5E-4D28-98EB-F7B266F8EB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66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00A3AD68-CB9E-47C4-BD70-187129C75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67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C3D2E739-9007-4AF8-ADE1-010E234B9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9525" cy="9525"/>
    <xdr:pic>
      <xdr:nvPicPr>
        <xdr:cNvPr id="68" name="image1.gif" descr="https://ssl.gstatic.com/ui/v1/icons/mail/images/cleardot.gif">
          <a:extLst>
            <a:ext uri="{FF2B5EF4-FFF2-40B4-BE49-F238E27FC236}">
              <a16:creationId xmlns="" xmlns:a16="http://schemas.microsoft.com/office/drawing/2014/main" id="{87FF925D-888F-411E-8145-49F15901E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352426</xdr:colOff>
      <xdr:row>0</xdr:row>
      <xdr:rowOff>76203</xdr:rowOff>
    </xdr:from>
    <xdr:to>
      <xdr:col>7</xdr:col>
      <xdr:colOff>963083</xdr:colOff>
      <xdr:row>1</xdr:row>
      <xdr:rowOff>218717</xdr:rowOff>
    </xdr:to>
    <xdr:pic>
      <xdr:nvPicPr>
        <xdr:cNvPr id="69" name="Picture 68" descr="C:\Users\MAHANTESH PATIL\Downloads\jain logo 2.jpg">
          <a:extLst>
            <a:ext uri="{FF2B5EF4-FFF2-40B4-BE49-F238E27FC236}">
              <a16:creationId xmlns="" xmlns:a16="http://schemas.microsoft.com/office/drawing/2014/main" id="{9B25B663-1FD6-4D71-86E2-EBDAC29E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259" y="76203"/>
          <a:ext cx="3616324" cy="74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6" name="image2.gif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7" name="image2.gif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</xdr:colOff>
      <xdr:row>0</xdr:row>
      <xdr:rowOff>33500</xdr:rowOff>
    </xdr:from>
    <xdr:to>
      <xdr:col>3</xdr:col>
      <xdr:colOff>1308101</xdr:colOff>
      <xdr:row>1</xdr:row>
      <xdr:rowOff>95249</xdr:rowOff>
    </xdr:to>
    <xdr:pic>
      <xdr:nvPicPr>
        <xdr:cNvPr id="8" name="Picture 7" descr="C:\Users\MAHANTESH PATIL\Downloads\jain logo 2.jpg">
          <a:extLst>
            <a:ext uri="{FF2B5EF4-FFF2-40B4-BE49-F238E27FC236}">
              <a16:creationId xmlns="" xmlns:a16="http://schemas.microsoft.com/office/drawing/2014/main" id="{31800BEA-2FAB-4A12-99FB-8118476E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33500"/>
          <a:ext cx="2495550" cy="544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zoomScale="90" zoomScaleNormal="90" workbookViewId="0">
      <selection activeCell="H12" sqref="H12"/>
    </sheetView>
  </sheetViews>
  <sheetFormatPr defaultColWidth="8.19921875" defaultRowHeight="23.25" customHeight="1" x14ac:dyDescent="0.25"/>
  <cols>
    <col min="1" max="1" width="6.19921875" style="24" customWidth="1"/>
    <col min="2" max="2" width="13.3984375" style="24" customWidth="1"/>
    <col min="3" max="3" width="8.69921875" style="24" customWidth="1"/>
    <col min="4" max="4" width="13" style="26" customWidth="1"/>
    <col min="5" max="5" width="11.59765625" style="24" customWidth="1"/>
    <col min="6" max="6" width="10.3984375" style="25" customWidth="1"/>
    <col min="7" max="8" width="17.3984375" style="25" customWidth="1"/>
    <col min="9" max="9" width="14.19921875" style="44" customWidth="1"/>
    <col min="10" max="12" width="11" style="25" customWidth="1"/>
    <col min="13" max="13" width="9.69921875" style="25" customWidth="1"/>
    <col min="14" max="16384" width="8.19921875" style="24"/>
  </cols>
  <sheetData>
    <row r="1" spans="1:13" ht="47.25" customHeight="1" x14ac:dyDescent="0.25">
      <c r="D1"/>
    </row>
    <row r="3" spans="1:13" ht="17.399999999999999" x14ac:dyDescent="0.25">
      <c r="A3" s="62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ht="23.25" customHeight="1" x14ac:dyDescent="0.25">
      <c r="A4" s="63" t="s">
        <v>0</v>
      </c>
      <c r="B4" s="63" t="s">
        <v>1</v>
      </c>
      <c r="C4" s="63" t="s">
        <v>2</v>
      </c>
      <c r="D4" s="64" t="s">
        <v>3</v>
      </c>
      <c r="E4" s="63" t="s">
        <v>4</v>
      </c>
      <c r="F4" s="63" t="s">
        <v>5</v>
      </c>
      <c r="G4" s="65" t="s">
        <v>6</v>
      </c>
      <c r="H4" s="65"/>
      <c r="I4" s="64" t="s">
        <v>7</v>
      </c>
      <c r="J4" s="63" t="s">
        <v>8</v>
      </c>
      <c r="K4" s="63"/>
      <c r="L4" s="64" t="s">
        <v>9</v>
      </c>
      <c r="M4" s="64" t="s">
        <v>10</v>
      </c>
    </row>
    <row r="5" spans="1:13" ht="23.25" customHeight="1" x14ac:dyDescent="0.25">
      <c r="A5" s="63"/>
      <c r="B5" s="63"/>
      <c r="C5" s="63"/>
      <c r="D5" s="64"/>
      <c r="E5" s="63"/>
      <c r="F5" s="63"/>
      <c r="G5" s="65"/>
      <c r="H5" s="65"/>
      <c r="I5" s="64"/>
      <c r="J5" s="45" t="s">
        <v>11</v>
      </c>
      <c r="K5" s="45" t="s">
        <v>12</v>
      </c>
      <c r="L5" s="64"/>
      <c r="M5" s="64"/>
    </row>
    <row r="6" spans="1:13" ht="15" x14ac:dyDescent="0.25">
      <c r="A6" s="46">
        <v>1</v>
      </c>
      <c r="B6" s="67" t="s">
        <v>40</v>
      </c>
      <c r="C6" s="69" t="s">
        <v>13</v>
      </c>
      <c r="D6" s="67" t="s">
        <v>41</v>
      </c>
      <c r="E6" s="71" t="s">
        <v>42</v>
      </c>
      <c r="F6" s="74">
        <v>1</v>
      </c>
      <c r="G6" s="47">
        <v>45933</v>
      </c>
      <c r="H6" s="47" t="s">
        <v>43</v>
      </c>
      <c r="I6" s="48" t="s">
        <v>44</v>
      </c>
      <c r="J6" s="49">
        <v>9.0277777777777776E-2</v>
      </c>
      <c r="K6" s="50">
        <v>0.15972222222222224</v>
      </c>
      <c r="L6" s="51">
        <v>100</v>
      </c>
      <c r="M6" s="61">
        <v>2</v>
      </c>
    </row>
    <row r="7" spans="1:13" ht="15" x14ac:dyDescent="0.25">
      <c r="A7" s="46"/>
      <c r="B7" s="68"/>
      <c r="C7" s="69"/>
      <c r="D7" s="68"/>
      <c r="E7" s="72"/>
      <c r="F7" s="75"/>
      <c r="G7" s="47">
        <v>45936</v>
      </c>
      <c r="H7" s="47" t="s">
        <v>43</v>
      </c>
      <c r="I7" s="48" t="s">
        <v>44</v>
      </c>
      <c r="J7" s="85" t="s">
        <v>52</v>
      </c>
      <c r="K7" s="50">
        <v>5.5555555555555552E-2</v>
      </c>
      <c r="L7" s="61">
        <v>100</v>
      </c>
      <c r="M7" s="61">
        <v>2</v>
      </c>
    </row>
    <row r="8" spans="1:13" ht="15" x14ac:dyDescent="0.25">
      <c r="A8" s="46">
        <v>2</v>
      </c>
      <c r="B8" s="68"/>
      <c r="C8" s="69"/>
      <c r="D8" s="68"/>
      <c r="E8" s="72"/>
      <c r="F8" s="75"/>
      <c r="G8" s="89">
        <v>45938</v>
      </c>
      <c r="H8" s="89" t="s">
        <v>43</v>
      </c>
      <c r="I8" s="87" t="s">
        <v>44</v>
      </c>
      <c r="J8" s="49">
        <v>9.0277777777777776E-2</v>
      </c>
      <c r="K8" s="50">
        <v>0.125</v>
      </c>
      <c r="L8" s="90">
        <v>100</v>
      </c>
      <c r="M8" s="90">
        <v>2</v>
      </c>
    </row>
    <row r="9" spans="1:13" ht="15" x14ac:dyDescent="0.25">
      <c r="A9" s="46"/>
      <c r="B9" s="68"/>
      <c r="C9" s="69"/>
      <c r="D9" s="68"/>
      <c r="E9" s="72"/>
      <c r="F9" s="75"/>
      <c r="G9" s="88"/>
      <c r="H9" s="88"/>
      <c r="I9" s="86"/>
      <c r="J9" s="49">
        <v>0.15972222222222224</v>
      </c>
      <c r="K9" s="50">
        <v>0.19444444444444445</v>
      </c>
      <c r="L9" s="91"/>
      <c r="M9" s="91"/>
    </row>
    <row r="10" spans="1:13" ht="15" x14ac:dyDescent="0.25">
      <c r="A10" s="46">
        <v>3</v>
      </c>
      <c r="B10" s="68"/>
      <c r="C10" s="69"/>
      <c r="D10" s="68"/>
      <c r="E10" s="72"/>
      <c r="F10" s="75"/>
      <c r="G10" s="47">
        <v>45939</v>
      </c>
      <c r="H10" s="47" t="s">
        <v>43</v>
      </c>
      <c r="I10" s="48" t="s">
        <v>44</v>
      </c>
      <c r="J10" s="49">
        <v>9.0277777777777776E-2</v>
      </c>
      <c r="K10" s="50">
        <v>0.15972222222222224</v>
      </c>
      <c r="L10" s="51">
        <v>100</v>
      </c>
      <c r="M10" s="61">
        <v>2</v>
      </c>
    </row>
    <row r="11" spans="1:13" ht="15" x14ac:dyDescent="0.25">
      <c r="A11" s="46">
        <v>4</v>
      </c>
      <c r="B11" s="68"/>
      <c r="C11" s="69"/>
      <c r="D11" s="68"/>
      <c r="E11" s="72"/>
      <c r="F11" s="75"/>
      <c r="G11" s="47">
        <v>45943</v>
      </c>
      <c r="H11" s="47" t="s">
        <v>43</v>
      </c>
      <c r="I11" s="48" t="s">
        <v>44</v>
      </c>
      <c r="J11" s="85" t="s">
        <v>53</v>
      </c>
      <c r="K11" s="50">
        <v>5.5555555555555552E-2</v>
      </c>
      <c r="L11" s="61">
        <v>100</v>
      </c>
      <c r="M11" s="61">
        <v>2</v>
      </c>
    </row>
    <row r="12" spans="1:13" ht="15" x14ac:dyDescent="0.25">
      <c r="A12" s="46">
        <v>5</v>
      </c>
      <c r="B12" s="68"/>
      <c r="C12" s="69"/>
      <c r="D12" s="68"/>
      <c r="E12" s="72"/>
      <c r="F12" s="75"/>
      <c r="G12" s="47">
        <v>45947</v>
      </c>
      <c r="H12" s="47" t="s">
        <v>43</v>
      </c>
      <c r="I12" s="48" t="s">
        <v>44</v>
      </c>
      <c r="J12" s="49">
        <v>9.0277777777777776E-2</v>
      </c>
      <c r="K12" s="50">
        <v>0.15972222222222224</v>
      </c>
      <c r="L12" s="61">
        <v>100</v>
      </c>
      <c r="M12" s="61">
        <v>2</v>
      </c>
    </row>
    <row r="13" spans="1:13" ht="32.4" customHeight="1" x14ac:dyDescent="0.25">
      <c r="A13" s="46">
        <v>6</v>
      </c>
      <c r="B13" s="68"/>
      <c r="C13" s="69"/>
      <c r="D13" s="68"/>
      <c r="E13" s="72"/>
      <c r="F13" s="75"/>
      <c r="G13" s="47">
        <v>45953</v>
      </c>
      <c r="H13" s="47" t="s">
        <v>45</v>
      </c>
      <c r="I13" s="48" t="s">
        <v>44</v>
      </c>
      <c r="J13" s="49">
        <v>9.0277777777777776E-2</v>
      </c>
      <c r="K13" s="50">
        <v>0.15972222222222224</v>
      </c>
      <c r="L13" s="61">
        <v>100</v>
      </c>
      <c r="M13" s="61">
        <v>2</v>
      </c>
    </row>
    <row r="14" spans="1:13" ht="39" customHeight="1" x14ac:dyDescent="0.25">
      <c r="A14" s="46">
        <v>7</v>
      </c>
      <c r="B14" s="68"/>
      <c r="C14" s="69"/>
      <c r="D14" s="68"/>
      <c r="E14" s="72"/>
      <c r="F14" s="75"/>
      <c r="G14" s="47">
        <v>45954</v>
      </c>
      <c r="H14" s="47" t="s">
        <v>45</v>
      </c>
      <c r="I14" s="48" t="s">
        <v>44</v>
      </c>
      <c r="J14" s="49">
        <v>9.0277777777777776E-2</v>
      </c>
      <c r="K14" s="50">
        <v>0.15972222222222224</v>
      </c>
      <c r="L14" s="61">
        <v>100</v>
      </c>
      <c r="M14" s="61">
        <v>2</v>
      </c>
    </row>
    <row r="15" spans="1:13" ht="20.399999999999999" customHeight="1" x14ac:dyDescent="0.25">
      <c r="A15" s="46"/>
      <c r="B15" s="68"/>
      <c r="C15" s="69"/>
      <c r="D15" s="68"/>
      <c r="E15" s="72"/>
      <c r="F15" s="75"/>
      <c r="G15" s="47">
        <v>45957</v>
      </c>
      <c r="H15" s="47" t="s">
        <v>43</v>
      </c>
      <c r="I15" s="48" t="s">
        <v>44</v>
      </c>
      <c r="J15" s="49">
        <v>0.52083333333333337</v>
      </c>
      <c r="K15" s="50">
        <v>5.5555555555555552E-2</v>
      </c>
      <c r="L15" s="61">
        <v>50</v>
      </c>
      <c r="M15" s="61">
        <v>1</v>
      </c>
    </row>
    <row r="16" spans="1:13" ht="15" x14ac:dyDescent="0.25">
      <c r="A16" s="46"/>
      <c r="B16" s="68"/>
      <c r="C16" s="69"/>
      <c r="D16" s="68"/>
      <c r="E16" s="72"/>
      <c r="F16" s="75"/>
      <c r="G16" s="47">
        <v>45960</v>
      </c>
      <c r="H16" s="47" t="s">
        <v>45</v>
      </c>
      <c r="I16" s="48" t="s">
        <v>44</v>
      </c>
      <c r="J16" s="49">
        <v>9.0277777777777776E-2</v>
      </c>
      <c r="K16" s="50">
        <v>0.15972222222222224</v>
      </c>
      <c r="L16" s="61">
        <v>100</v>
      </c>
      <c r="M16" s="61">
        <v>2</v>
      </c>
    </row>
    <row r="17" spans="1:16" ht="15" x14ac:dyDescent="0.25">
      <c r="A17" s="46">
        <v>8</v>
      </c>
      <c r="B17" s="68"/>
      <c r="C17" s="69"/>
      <c r="D17" s="68"/>
      <c r="E17" s="72"/>
      <c r="F17" s="75"/>
      <c r="G17" s="47">
        <v>45961</v>
      </c>
      <c r="H17" s="47" t="s">
        <v>45</v>
      </c>
      <c r="I17" s="48" t="s">
        <v>44</v>
      </c>
      <c r="J17" s="49">
        <v>9.0277777777777776E-2</v>
      </c>
      <c r="K17" s="50">
        <v>0.15972222222222224</v>
      </c>
      <c r="L17" s="61">
        <v>100</v>
      </c>
      <c r="M17" s="61">
        <v>2</v>
      </c>
    </row>
    <row r="18" spans="1:16" ht="15" x14ac:dyDescent="0.25">
      <c r="A18" s="46"/>
      <c r="B18" s="68"/>
      <c r="C18" s="69"/>
      <c r="D18" s="68"/>
      <c r="E18" s="72"/>
      <c r="F18" s="75"/>
      <c r="G18" s="47"/>
      <c r="H18" s="47"/>
      <c r="I18" s="48"/>
      <c r="J18" s="49"/>
      <c r="K18" s="50"/>
      <c r="L18" s="61"/>
      <c r="M18" s="84"/>
    </row>
    <row r="19" spans="1:16" ht="15" x14ac:dyDescent="0.25">
      <c r="A19" s="46">
        <v>9</v>
      </c>
      <c r="B19" s="68"/>
      <c r="C19" s="69"/>
      <c r="D19" s="68"/>
      <c r="E19" s="72"/>
      <c r="F19" s="75"/>
      <c r="G19" s="47"/>
      <c r="H19" s="47"/>
      <c r="I19" s="53"/>
      <c r="J19" s="52"/>
      <c r="K19" s="52"/>
      <c r="L19" s="51" t="s">
        <v>25</v>
      </c>
      <c r="M19" s="51">
        <f>SUM(M6:M17)</f>
        <v>21</v>
      </c>
    </row>
    <row r="20" spans="1:16" ht="15" x14ac:dyDescent="0.25">
      <c r="A20" s="46"/>
      <c r="B20" s="68"/>
      <c r="C20" s="69"/>
      <c r="D20" s="68"/>
      <c r="E20" s="72"/>
      <c r="F20" s="75"/>
      <c r="G20" s="47"/>
      <c r="H20" s="47"/>
      <c r="I20" s="53"/>
      <c r="J20" s="52"/>
      <c r="K20" s="52"/>
      <c r="L20" s="61"/>
      <c r="M20" s="61"/>
      <c r="O20" s="24">
        <v>8</v>
      </c>
      <c r="P20" s="24" t="s">
        <v>54</v>
      </c>
    </row>
    <row r="21" spans="1:16" ht="15" x14ac:dyDescent="0.25">
      <c r="A21" s="46"/>
      <c r="B21" s="68"/>
      <c r="C21" s="69"/>
      <c r="D21" s="68"/>
      <c r="E21" s="72"/>
      <c r="F21" s="75"/>
      <c r="G21" s="47"/>
      <c r="H21" s="47"/>
      <c r="I21" s="53"/>
      <c r="J21" s="52"/>
      <c r="K21" s="52"/>
      <c r="L21" s="51"/>
      <c r="M21" s="51"/>
      <c r="O21" s="24">
        <v>13</v>
      </c>
      <c r="P21" s="24" t="s">
        <v>55</v>
      </c>
    </row>
    <row r="22" spans="1:16" ht="15" x14ac:dyDescent="0.25">
      <c r="A22" s="46"/>
      <c r="B22" s="68"/>
      <c r="C22" s="69"/>
      <c r="D22" s="68"/>
      <c r="E22" s="73"/>
      <c r="F22" s="76"/>
      <c r="G22" s="47"/>
      <c r="H22" s="47"/>
      <c r="I22" s="54"/>
      <c r="J22" s="52"/>
      <c r="K22" s="52"/>
      <c r="L22" s="51"/>
      <c r="M22" s="51"/>
    </row>
    <row r="23" spans="1:16" ht="16.5" customHeight="1" x14ac:dyDescent="0.25">
      <c r="A23" s="46">
        <v>10</v>
      </c>
      <c r="B23" s="55"/>
      <c r="C23" s="55"/>
      <c r="D23" s="55"/>
      <c r="E23" s="55"/>
      <c r="F23" s="55"/>
      <c r="G23" s="70" t="s">
        <v>32</v>
      </c>
      <c r="H23" s="70"/>
      <c r="I23" s="70"/>
      <c r="J23" s="70"/>
      <c r="K23" s="70"/>
      <c r="L23" s="56"/>
      <c r="M23" s="57"/>
    </row>
    <row r="24" spans="1:16" ht="21" customHeight="1" x14ac:dyDescent="0.25">
      <c r="A24" s="55"/>
      <c r="B24" s="38"/>
      <c r="C24" s="38"/>
      <c r="D24" s="38"/>
      <c r="E24" s="38"/>
      <c r="F24" s="38"/>
      <c r="G24" s="58"/>
      <c r="H24" s="58"/>
      <c r="I24" s="58"/>
      <c r="J24" s="58"/>
      <c r="K24" s="27"/>
      <c r="L24" s="27"/>
      <c r="M24" s="27"/>
      <c r="N24" s="27"/>
    </row>
    <row r="25" spans="1:16" ht="23.25" customHeight="1" x14ac:dyDescent="0.3">
      <c r="A25" s="38"/>
      <c r="B25" s="60"/>
      <c r="C25" s="39"/>
      <c r="L25" s="59" t="s">
        <v>33</v>
      </c>
    </row>
    <row r="26" spans="1:16" ht="23.25" customHeight="1" x14ac:dyDescent="0.3">
      <c r="A26" s="43" t="s">
        <v>39</v>
      </c>
      <c r="B26" s="42"/>
      <c r="L26" s="59"/>
    </row>
    <row r="27" spans="1:16" ht="23.25" customHeight="1" x14ac:dyDescent="0.25">
      <c r="A27" s="42"/>
      <c r="B27" s="28" t="s">
        <v>34</v>
      </c>
      <c r="C27" s="28"/>
      <c r="D27" s="28" t="s">
        <v>35</v>
      </c>
      <c r="F27" s="28"/>
      <c r="G27" s="28" t="s">
        <v>36</v>
      </c>
      <c r="H27" s="28"/>
      <c r="I27" s="24"/>
      <c r="J27" s="28"/>
      <c r="K27" s="66" t="s">
        <v>15</v>
      </c>
      <c r="L27" s="66"/>
      <c r="M27" s="66"/>
    </row>
    <row r="28" spans="1:16" ht="23.25" customHeight="1" x14ac:dyDescent="0.25">
      <c r="A28" s="28"/>
      <c r="B28" s="30"/>
      <c r="C28" s="31"/>
      <c r="D28" s="31"/>
      <c r="E28" s="31"/>
      <c r="F28" s="3"/>
      <c r="G28" s="3"/>
      <c r="H28" s="3"/>
      <c r="I28" s="60"/>
      <c r="J28" s="60"/>
      <c r="K28" s="66" t="s">
        <v>16</v>
      </c>
      <c r="L28" s="66"/>
      <c r="M28" s="66"/>
    </row>
    <row r="29" spans="1:16" ht="23.25" customHeight="1" x14ac:dyDescent="0.3">
      <c r="A29" s="29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2"/>
    </row>
    <row r="30" spans="1:16" ht="23.25" customHeight="1" x14ac:dyDescent="0.3">
      <c r="A30" s="1"/>
      <c r="D30" s="24"/>
      <c r="I30" s="25"/>
    </row>
    <row r="31" spans="1:16" ht="23.25" customHeight="1" x14ac:dyDescent="0.25">
      <c r="D31" s="24"/>
      <c r="I31" s="25"/>
    </row>
    <row r="32" spans="1:16" ht="23.25" customHeight="1" x14ac:dyDescent="0.25">
      <c r="D32" s="24"/>
      <c r="I32" s="25"/>
    </row>
    <row r="33" spans="4:9" ht="23.25" customHeight="1" x14ac:dyDescent="0.25">
      <c r="D33" s="24"/>
      <c r="I33" s="25"/>
    </row>
    <row r="34" spans="4:9" ht="23.25" customHeight="1" x14ac:dyDescent="0.25">
      <c r="D34" s="24"/>
      <c r="I34" s="25"/>
    </row>
    <row r="35" spans="4:9" ht="23.25" customHeight="1" x14ac:dyDescent="0.25">
      <c r="D35" s="24"/>
      <c r="I35" s="25"/>
    </row>
    <row r="36" spans="4:9" ht="23.25" customHeight="1" x14ac:dyDescent="0.25">
      <c r="D36" s="24"/>
      <c r="I36" s="25"/>
    </row>
    <row r="37" spans="4:9" ht="23.25" customHeight="1" x14ac:dyDescent="0.25">
      <c r="D37" s="24"/>
      <c r="I37" s="25"/>
    </row>
    <row r="38" spans="4:9" ht="23.25" customHeight="1" x14ac:dyDescent="0.25">
      <c r="D38" s="24"/>
      <c r="I38" s="25"/>
    </row>
    <row r="39" spans="4:9" ht="23.25" customHeight="1" x14ac:dyDescent="0.25">
      <c r="D39" s="24"/>
      <c r="I39" s="25"/>
    </row>
    <row r="40" spans="4:9" ht="23.25" customHeight="1" x14ac:dyDescent="0.25">
      <c r="D40" s="24"/>
      <c r="I40" s="25"/>
    </row>
    <row r="41" spans="4:9" ht="23.25" customHeight="1" x14ac:dyDescent="0.25">
      <c r="D41" s="24"/>
      <c r="I41" s="25"/>
    </row>
    <row r="42" spans="4:9" ht="23.25" customHeight="1" x14ac:dyDescent="0.25">
      <c r="D42" s="24"/>
      <c r="I42" s="25"/>
    </row>
    <row r="43" spans="4:9" ht="23.25" customHeight="1" x14ac:dyDescent="0.25">
      <c r="D43" s="24"/>
      <c r="I43" s="25"/>
    </row>
    <row r="44" spans="4:9" ht="23.25" customHeight="1" x14ac:dyDescent="0.25">
      <c r="D44" s="24"/>
      <c r="I44" s="25"/>
    </row>
    <row r="45" spans="4:9" ht="23.25" customHeight="1" x14ac:dyDescent="0.25">
      <c r="D45" s="24"/>
      <c r="I45" s="25"/>
    </row>
    <row r="46" spans="4:9" ht="23.25" customHeight="1" x14ac:dyDescent="0.25">
      <c r="D46" s="24"/>
      <c r="I46" s="25"/>
    </row>
    <row r="47" spans="4:9" ht="23.25" customHeight="1" x14ac:dyDescent="0.25">
      <c r="D47" s="24"/>
      <c r="I47" s="25"/>
    </row>
    <row r="48" spans="4:9" ht="23.25" customHeight="1" x14ac:dyDescent="0.25">
      <c r="D48" s="24"/>
      <c r="I48" s="25"/>
    </row>
    <row r="49" spans="4:9" ht="23.25" customHeight="1" x14ac:dyDescent="0.25">
      <c r="D49" s="24"/>
      <c r="I49" s="25"/>
    </row>
    <row r="65" ht="15" x14ac:dyDescent="0.25"/>
  </sheetData>
  <mergeCells count="26">
    <mergeCell ref="M8:M9"/>
    <mergeCell ref="K27:M27"/>
    <mergeCell ref="K28:M28"/>
    <mergeCell ref="H4:H5"/>
    <mergeCell ref="B6:B22"/>
    <mergeCell ref="C6:C22"/>
    <mergeCell ref="D6:D22"/>
    <mergeCell ref="G23:K23"/>
    <mergeCell ref="L4:L5"/>
    <mergeCell ref="E6:E22"/>
    <mergeCell ref="F6:F22"/>
    <mergeCell ref="I8:I9"/>
    <mergeCell ref="H8:H9"/>
    <mergeCell ref="G8:G9"/>
    <mergeCell ref="L8:L9"/>
    <mergeCell ref="A3:M3"/>
    <mergeCell ref="A4:A5"/>
    <mergeCell ref="B4:B5"/>
    <mergeCell ref="C4:C5"/>
    <mergeCell ref="D4:D5"/>
    <mergeCell ref="E4:E5"/>
    <mergeCell ref="F4:F5"/>
    <mergeCell ref="M4:M5"/>
    <mergeCell ref="G4:G5"/>
    <mergeCell ref="I4:I5"/>
    <mergeCell ref="J4:K4"/>
  </mergeCells>
  <phoneticPr fontId="25" type="noConversion"/>
  <pageMargins left="0.63" right="0.56000000000000005" top="0.47" bottom="0.34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C4" sqref="C4"/>
    </sheetView>
  </sheetViews>
  <sheetFormatPr defaultColWidth="12.59765625" defaultRowHeight="15" customHeight="1" x14ac:dyDescent="0.25"/>
  <cols>
    <col min="1" max="1" width="6.8984375" customWidth="1"/>
    <col min="2" max="2" width="37.59765625" customWidth="1"/>
    <col min="3" max="3" width="15.59765625" customWidth="1"/>
    <col min="4" max="4" width="19" customWidth="1"/>
    <col min="5" max="5" width="18" customWidth="1"/>
    <col min="6" max="6" width="16.09765625" customWidth="1"/>
    <col min="7" max="7" width="19.3984375" customWidth="1"/>
    <col min="8" max="9" width="9.09765625" customWidth="1"/>
    <col min="10" max="10" width="11.59765625" customWidth="1"/>
    <col min="11" max="26" width="8.59765625" customWidth="1"/>
  </cols>
  <sheetData>
    <row r="1" spans="1:26" ht="38.25" customHeight="1" x14ac:dyDescent="0.65">
      <c r="A1" s="4"/>
      <c r="B1" s="4"/>
      <c r="C1" s="5" t="s">
        <v>17</v>
      </c>
      <c r="D1" s="6"/>
      <c r="E1" s="6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3">
      <c r="A2" s="79" t="s">
        <v>38</v>
      </c>
      <c r="B2" s="80"/>
      <c r="C2" s="80"/>
      <c r="D2" s="80"/>
      <c r="E2" s="80"/>
      <c r="F2" s="80"/>
      <c r="G2" s="80"/>
      <c r="H2" s="7"/>
      <c r="I2" s="7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6.8" x14ac:dyDescent="0.3">
      <c r="A3" s="8" t="s">
        <v>18</v>
      </c>
      <c r="B3" s="8" t="s">
        <v>19</v>
      </c>
      <c r="C3" s="9" t="s">
        <v>20</v>
      </c>
      <c r="D3" s="9" t="s">
        <v>21</v>
      </c>
      <c r="E3" s="9" t="s">
        <v>22</v>
      </c>
      <c r="F3" s="8" t="s">
        <v>23</v>
      </c>
      <c r="G3" s="9" t="s">
        <v>24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8.25" customHeight="1" x14ac:dyDescent="0.3">
      <c r="A4" s="10">
        <v>1</v>
      </c>
      <c r="B4" s="11" t="s">
        <v>46</v>
      </c>
      <c r="C4" s="12">
        <v>21</v>
      </c>
      <c r="D4" s="12"/>
      <c r="E4" s="12">
        <f>C4*D4</f>
        <v>0</v>
      </c>
      <c r="F4" s="12">
        <f>E4*10/100</f>
        <v>0</v>
      </c>
      <c r="G4" s="12">
        <f>E4-F4</f>
        <v>0</v>
      </c>
      <c r="H4" s="4"/>
      <c r="I4" s="4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8.25" customHeight="1" x14ac:dyDescent="0.3">
      <c r="A5" s="10">
        <v>2</v>
      </c>
      <c r="B5" s="11"/>
      <c r="C5" s="12"/>
      <c r="D5" s="12"/>
      <c r="E5" s="12"/>
      <c r="F5" s="12"/>
      <c r="G5" s="12"/>
      <c r="H5" s="4"/>
      <c r="I5" s="4"/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8.25" customHeight="1" x14ac:dyDescent="0.3">
      <c r="A6" s="81" t="s">
        <v>25</v>
      </c>
      <c r="B6" s="82"/>
      <c r="C6" s="82"/>
      <c r="D6" s="14"/>
      <c r="E6" s="15">
        <f>SUM(E4)</f>
        <v>0</v>
      </c>
      <c r="F6" s="15">
        <f>ROUND(E6*10%,0)</f>
        <v>0</v>
      </c>
      <c r="G6" s="15">
        <f>SUM(E6-F6)</f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8.25" customHeight="1" x14ac:dyDescent="0.3">
      <c r="A7" s="16"/>
      <c r="B7" s="16"/>
      <c r="C7" s="16"/>
      <c r="D7" s="17"/>
      <c r="E7" s="18"/>
      <c r="F7" s="18"/>
      <c r="G7" s="1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8.25" customHeight="1" x14ac:dyDescent="0.3">
      <c r="A8" s="16"/>
      <c r="B8" s="16"/>
      <c r="C8" s="16"/>
      <c r="D8" s="17"/>
      <c r="E8" s="19"/>
      <c r="F8" s="19"/>
      <c r="G8" s="1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 customHeight="1" x14ac:dyDescent="0.3">
      <c r="A9" s="77" t="s">
        <v>14</v>
      </c>
      <c r="B9" s="78"/>
      <c r="C9" s="78"/>
      <c r="D9" s="16"/>
      <c r="E9" s="20"/>
      <c r="F9" s="83" t="s">
        <v>15</v>
      </c>
      <c r="G9" s="7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" customHeight="1" x14ac:dyDescent="0.3">
      <c r="A10" s="83"/>
      <c r="B10" s="78"/>
      <c r="C10" s="83"/>
      <c r="D10" s="78"/>
      <c r="E10" s="78"/>
      <c r="F10" s="83" t="s">
        <v>16</v>
      </c>
      <c r="G10" s="7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8.25" customHeight="1" x14ac:dyDescent="0.3">
      <c r="A11" s="4"/>
      <c r="B11" s="77"/>
      <c r="C11" s="78"/>
      <c r="D11" s="78"/>
      <c r="E11" s="21"/>
      <c r="F11" s="6"/>
      <c r="G11" s="2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8.25" customHeight="1" x14ac:dyDescent="0.3">
      <c r="A12" s="4"/>
      <c r="B12" s="77"/>
      <c r="C12" s="78"/>
      <c r="D12" s="7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8.25" customHeight="1" x14ac:dyDescent="0.3">
      <c r="A13" s="4"/>
      <c r="B13" s="4"/>
      <c r="C13" s="4"/>
      <c r="D13" s="6"/>
      <c r="E13" s="6"/>
      <c r="F13" s="6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8.25" customHeight="1" x14ac:dyDescent="0.3">
      <c r="A14" s="4"/>
      <c r="B14" s="4"/>
      <c r="C14" s="4"/>
      <c r="D14" s="6"/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8.25" customHeight="1" x14ac:dyDescent="0.3">
      <c r="A15" s="4"/>
      <c r="B15" s="4"/>
      <c r="C15" s="4"/>
      <c r="D15" s="6"/>
      <c r="E15" s="6"/>
      <c r="F15" s="6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8.25" customHeight="1" x14ac:dyDescent="0.3">
      <c r="A16" s="4"/>
      <c r="B16" s="4"/>
      <c r="C16" s="4"/>
      <c r="D16" s="6"/>
      <c r="E16" s="6"/>
      <c r="F16" s="6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8.25" customHeight="1" x14ac:dyDescent="0.3">
      <c r="A17" s="4"/>
      <c r="B17" s="4"/>
      <c r="C17" s="4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8.25" customHeight="1" x14ac:dyDescent="0.3">
      <c r="A18" s="4"/>
      <c r="B18" s="4"/>
      <c r="C18" s="4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.25" customHeight="1" x14ac:dyDescent="0.3">
      <c r="A19" s="4"/>
      <c r="B19" s="4"/>
      <c r="C19" s="4"/>
      <c r="D19" s="6"/>
      <c r="E19" s="6"/>
      <c r="F19" s="6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8.25" customHeight="1" x14ac:dyDescent="0.3">
      <c r="A20" s="4"/>
      <c r="B20" s="4"/>
      <c r="C20" s="4"/>
      <c r="D20" s="6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8.25" customHeight="1" x14ac:dyDescent="0.3">
      <c r="A21" s="4"/>
      <c r="B21" s="4"/>
      <c r="C21" s="4"/>
      <c r="D21" s="6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8.25" customHeight="1" x14ac:dyDescent="0.3">
      <c r="A22" s="4"/>
      <c r="B22" s="4"/>
      <c r="C22" s="4"/>
      <c r="D22" s="6"/>
      <c r="E22" s="6"/>
      <c r="F22" s="6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8.25" customHeight="1" x14ac:dyDescent="0.3">
      <c r="A23" s="4"/>
      <c r="B23" s="4"/>
      <c r="C23" s="4"/>
      <c r="D23" s="6"/>
      <c r="E23" s="6"/>
      <c r="F23" s="6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8.25" customHeight="1" x14ac:dyDescent="0.3">
      <c r="A24" s="4"/>
      <c r="B24" s="4"/>
      <c r="C24" s="4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8.25" customHeight="1" x14ac:dyDescent="0.3">
      <c r="A25" s="4"/>
      <c r="B25" s="4"/>
      <c r="C25" s="4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8.25" customHeight="1" x14ac:dyDescent="0.3">
      <c r="A26" s="4"/>
      <c r="B26" s="4"/>
      <c r="C26" s="4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8.25" customHeight="1" x14ac:dyDescent="0.3">
      <c r="A27" s="4"/>
      <c r="B27" s="4"/>
      <c r="C27" s="4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8.25" customHeight="1" x14ac:dyDescent="0.3">
      <c r="A28" s="4"/>
      <c r="B28" s="4"/>
      <c r="C28" s="4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8.25" customHeight="1" x14ac:dyDescent="0.3">
      <c r="A29" s="4"/>
      <c r="B29" s="4"/>
      <c r="C29" s="4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8.25" customHeight="1" x14ac:dyDescent="0.3">
      <c r="A30" s="4"/>
      <c r="B30" s="4"/>
      <c r="C30" s="4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8.25" customHeight="1" x14ac:dyDescent="0.3">
      <c r="A31" s="4"/>
      <c r="B31" s="4"/>
      <c r="C31" s="4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8.25" customHeight="1" x14ac:dyDescent="0.3">
      <c r="A32" s="4"/>
      <c r="B32" s="4"/>
      <c r="C32" s="4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8.25" customHeight="1" x14ac:dyDescent="0.3">
      <c r="A33" s="4"/>
      <c r="B33" s="4"/>
      <c r="C33" s="4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8.25" customHeight="1" x14ac:dyDescent="0.3">
      <c r="A34" s="4"/>
      <c r="B34" s="4"/>
      <c r="C34" s="4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8.25" customHeight="1" x14ac:dyDescent="0.3">
      <c r="A35" s="4"/>
      <c r="B35" s="4"/>
      <c r="C35" s="4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8.25" customHeight="1" x14ac:dyDescent="0.3">
      <c r="A36" s="4"/>
      <c r="B36" s="4"/>
      <c r="C36" s="4"/>
      <c r="D36" s="6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8.25" customHeight="1" x14ac:dyDescent="0.3">
      <c r="A37" s="4"/>
      <c r="B37" s="4"/>
      <c r="C37" s="4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8.25" customHeight="1" x14ac:dyDescent="0.3">
      <c r="A38" s="4"/>
      <c r="B38" s="4"/>
      <c r="C38" s="4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8.25" customHeight="1" x14ac:dyDescent="0.3">
      <c r="A39" s="4"/>
      <c r="B39" s="4"/>
      <c r="C39" s="4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8.25" customHeight="1" x14ac:dyDescent="0.3">
      <c r="A40" s="4"/>
      <c r="B40" s="4"/>
      <c r="C40" s="4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8.25" customHeight="1" x14ac:dyDescent="0.3">
      <c r="A41" s="4"/>
      <c r="B41" s="4"/>
      <c r="C41" s="4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8.25" customHeight="1" x14ac:dyDescent="0.3">
      <c r="A42" s="4"/>
      <c r="B42" s="4"/>
      <c r="C42" s="4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8.25" customHeight="1" x14ac:dyDescent="0.3">
      <c r="A43" s="4"/>
      <c r="B43" s="4"/>
      <c r="C43" s="4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8.25" customHeight="1" x14ac:dyDescent="0.3">
      <c r="A44" s="4"/>
      <c r="B44" s="4"/>
      <c r="C44" s="4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8.25" customHeight="1" x14ac:dyDescent="0.3">
      <c r="A45" s="4"/>
      <c r="B45" s="4"/>
      <c r="C45" s="4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8.25" customHeight="1" x14ac:dyDescent="0.3">
      <c r="A46" s="4"/>
      <c r="B46" s="4"/>
      <c r="C46" s="4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8.25" customHeight="1" x14ac:dyDescent="0.3">
      <c r="A47" s="4"/>
      <c r="B47" s="4"/>
      <c r="C47" s="4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8.25" customHeight="1" x14ac:dyDescent="0.3">
      <c r="A48" s="4"/>
      <c r="B48" s="4"/>
      <c r="C48" s="4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8.25" customHeight="1" x14ac:dyDescent="0.3">
      <c r="A49" s="4"/>
      <c r="B49" s="4"/>
      <c r="C49" s="4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8.25" customHeight="1" x14ac:dyDescent="0.3">
      <c r="A50" s="4"/>
      <c r="B50" s="4"/>
      <c r="C50" s="4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8.25" customHeight="1" x14ac:dyDescent="0.3">
      <c r="A51" s="4"/>
      <c r="B51" s="4"/>
      <c r="C51" s="4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8.25" customHeight="1" x14ac:dyDescent="0.3">
      <c r="A52" s="4"/>
      <c r="B52" s="4"/>
      <c r="C52" s="4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8.25" customHeight="1" x14ac:dyDescent="0.3">
      <c r="A53" s="4"/>
      <c r="B53" s="4"/>
      <c r="C53" s="4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8.25" customHeight="1" x14ac:dyDescent="0.3">
      <c r="A54" s="4"/>
      <c r="B54" s="4"/>
      <c r="C54" s="4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8.25" customHeight="1" x14ac:dyDescent="0.3">
      <c r="A55" s="4"/>
      <c r="B55" s="4"/>
      <c r="C55" s="4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8.25" customHeight="1" x14ac:dyDescent="0.3">
      <c r="A56" s="4"/>
      <c r="B56" s="4"/>
      <c r="C56" s="4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8.25" customHeight="1" x14ac:dyDescent="0.3">
      <c r="A57" s="4"/>
      <c r="B57" s="4"/>
      <c r="C57" s="4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8.25" customHeight="1" x14ac:dyDescent="0.3">
      <c r="A58" s="4"/>
      <c r="B58" s="4"/>
      <c r="C58" s="4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8.25" customHeight="1" x14ac:dyDescent="0.3">
      <c r="A59" s="4"/>
      <c r="B59" s="4"/>
      <c r="C59" s="4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8.25" customHeight="1" x14ac:dyDescent="0.3">
      <c r="A60" s="4"/>
      <c r="B60" s="4"/>
      <c r="C60" s="4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8.25" customHeight="1" x14ac:dyDescent="0.3">
      <c r="A61" s="4"/>
      <c r="B61" s="4"/>
      <c r="C61" s="4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8.25" customHeight="1" x14ac:dyDescent="0.3">
      <c r="A62" s="4"/>
      <c r="B62" s="4"/>
      <c r="C62" s="4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8.25" customHeight="1" x14ac:dyDescent="0.3">
      <c r="A63" s="4"/>
      <c r="B63" s="4"/>
      <c r="C63" s="4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8.25" customHeight="1" x14ac:dyDescent="0.3">
      <c r="A64" s="4"/>
      <c r="B64" s="4"/>
      <c r="C64" s="4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8.25" customHeight="1" x14ac:dyDescent="0.3">
      <c r="A65" s="4"/>
      <c r="B65" s="4"/>
      <c r="C65" s="4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8.25" customHeight="1" x14ac:dyDescent="0.3">
      <c r="A66" s="4"/>
      <c r="B66" s="4"/>
      <c r="C66" s="4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8.25" customHeight="1" x14ac:dyDescent="0.3">
      <c r="A67" s="4"/>
      <c r="B67" s="4"/>
      <c r="C67" s="4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8.25" customHeight="1" x14ac:dyDescent="0.3">
      <c r="A68" s="4"/>
      <c r="B68" s="4"/>
      <c r="C68" s="4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8.25" customHeight="1" x14ac:dyDescent="0.3">
      <c r="A69" s="4"/>
      <c r="B69" s="4"/>
      <c r="C69" s="4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8.25" customHeight="1" x14ac:dyDescent="0.3">
      <c r="A70" s="4"/>
      <c r="B70" s="4"/>
      <c r="C70" s="4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8.25" customHeight="1" x14ac:dyDescent="0.3">
      <c r="A71" s="4"/>
      <c r="B71" s="4"/>
      <c r="C71" s="4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8.25" customHeight="1" x14ac:dyDescent="0.3">
      <c r="A72" s="4"/>
      <c r="B72" s="4"/>
      <c r="C72" s="4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8.25" customHeight="1" x14ac:dyDescent="0.3">
      <c r="A73" s="4"/>
      <c r="B73" s="4"/>
      <c r="C73" s="4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8.25" customHeight="1" x14ac:dyDescent="0.3">
      <c r="A74" s="4"/>
      <c r="B74" s="4"/>
      <c r="C74" s="4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8.25" customHeight="1" x14ac:dyDescent="0.3">
      <c r="A75" s="4"/>
      <c r="B75" s="4"/>
      <c r="C75" s="4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8.25" customHeight="1" x14ac:dyDescent="0.3">
      <c r="A76" s="4"/>
      <c r="B76" s="4"/>
      <c r="C76" s="4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8.25" customHeight="1" x14ac:dyDescent="0.3">
      <c r="A77" s="4"/>
      <c r="B77" s="4"/>
      <c r="C77" s="4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8.25" customHeight="1" x14ac:dyDescent="0.3">
      <c r="A78" s="4"/>
      <c r="B78" s="4"/>
      <c r="C78" s="4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8.25" customHeight="1" x14ac:dyDescent="0.3">
      <c r="A79" s="4"/>
      <c r="B79" s="4"/>
      <c r="C79" s="4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8.25" customHeight="1" x14ac:dyDescent="0.3">
      <c r="A80" s="4"/>
      <c r="B80" s="4"/>
      <c r="C80" s="4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8.25" customHeight="1" x14ac:dyDescent="0.3">
      <c r="A81" s="4"/>
      <c r="B81" s="4"/>
      <c r="C81" s="4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8.25" customHeight="1" x14ac:dyDescent="0.3">
      <c r="A82" s="4"/>
      <c r="B82" s="4"/>
      <c r="C82" s="4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8.25" customHeight="1" x14ac:dyDescent="0.3">
      <c r="A83" s="4"/>
      <c r="B83" s="4"/>
      <c r="C83" s="4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8.25" customHeight="1" x14ac:dyDescent="0.3">
      <c r="A84" s="4"/>
      <c r="B84" s="4"/>
      <c r="C84" s="4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8.25" customHeight="1" x14ac:dyDescent="0.3">
      <c r="A85" s="4"/>
      <c r="B85" s="4"/>
      <c r="C85" s="4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8.25" customHeight="1" x14ac:dyDescent="0.3">
      <c r="A86" s="4"/>
      <c r="B86" s="4"/>
      <c r="C86" s="4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8.25" customHeight="1" x14ac:dyDescent="0.3">
      <c r="A87" s="4"/>
      <c r="B87" s="4"/>
      <c r="C87" s="4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8.25" customHeight="1" x14ac:dyDescent="0.3">
      <c r="A88" s="4"/>
      <c r="B88" s="4"/>
      <c r="C88" s="4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8.25" customHeight="1" x14ac:dyDescent="0.3">
      <c r="A89" s="4"/>
      <c r="B89" s="4"/>
      <c r="C89" s="4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8.25" customHeight="1" x14ac:dyDescent="0.3">
      <c r="A90" s="4"/>
      <c r="B90" s="4"/>
      <c r="C90" s="4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8.25" customHeight="1" x14ac:dyDescent="0.3">
      <c r="A91" s="4"/>
      <c r="B91" s="4"/>
      <c r="C91" s="4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8.25" customHeight="1" x14ac:dyDescent="0.3">
      <c r="A92" s="4"/>
      <c r="B92" s="4"/>
      <c r="C92" s="4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8.25" customHeight="1" x14ac:dyDescent="0.3">
      <c r="A93" s="4"/>
      <c r="B93" s="4"/>
      <c r="C93" s="4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8.25" customHeight="1" x14ac:dyDescent="0.3">
      <c r="A94" s="4"/>
      <c r="B94" s="4"/>
      <c r="C94" s="4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8.25" customHeight="1" x14ac:dyDescent="0.3">
      <c r="A95" s="4"/>
      <c r="B95" s="4"/>
      <c r="C95" s="4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8.25" customHeight="1" x14ac:dyDescent="0.3">
      <c r="A96" s="4"/>
      <c r="B96" s="4"/>
      <c r="C96" s="4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8.25" customHeight="1" x14ac:dyDescent="0.3">
      <c r="A97" s="4"/>
      <c r="B97" s="4"/>
      <c r="C97" s="4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8.25" customHeight="1" x14ac:dyDescent="0.3">
      <c r="A98" s="4"/>
      <c r="B98" s="4"/>
      <c r="C98" s="4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8.25" customHeight="1" x14ac:dyDescent="0.3">
      <c r="A99" s="4"/>
      <c r="B99" s="4"/>
      <c r="C99" s="4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8.25" customHeight="1" x14ac:dyDescent="0.3">
      <c r="A100" s="4"/>
      <c r="B100" s="4"/>
      <c r="C100" s="4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8.25" customHeight="1" x14ac:dyDescent="0.3">
      <c r="A101" s="4"/>
      <c r="B101" s="4"/>
      <c r="C101" s="4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8.25" customHeight="1" x14ac:dyDescent="0.3">
      <c r="A102" s="4"/>
      <c r="B102" s="4"/>
      <c r="C102" s="4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8.25" customHeight="1" x14ac:dyDescent="0.3">
      <c r="A103" s="4"/>
      <c r="B103" s="4"/>
      <c r="C103" s="4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8.25" customHeight="1" x14ac:dyDescent="0.3">
      <c r="A104" s="4"/>
      <c r="B104" s="4"/>
      <c r="C104" s="4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8.25" customHeight="1" x14ac:dyDescent="0.3">
      <c r="A105" s="4"/>
      <c r="B105" s="4"/>
      <c r="C105" s="4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8.25" customHeight="1" x14ac:dyDescent="0.3">
      <c r="A106" s="4"/>
      <c r="B106" s="4"/>
      <c r="C106" s="4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8.25" customHeight="1" x14ac:dyDescent="0.3">
      <c r="A107" s="4"/>
      <c r="B107" s="4"/>
      <c r="C107" s="4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8.25" customHeight="1" x14ac:dyDescent="0.3">
      <c r="A108" s="4"/>
      <c r="B108" s="4"/>
      <c r="C108" s="4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8.25" customHeight="1" x14ac:dyDescent="0.3">
      <c r="A109" s="4"/>
      <c r="B109" s="4"/>
      <c r="C109" s="4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8.25" customHeight="1" x14ac:dyDescent="0.3">
      <c r="A110" s="4"/>
      <c r="B110" s="4"/>
      <c r="C110" s="4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8.25" customHeight="1" x14ac:dyDescent="0.3">
      <c r="A111" s="4"/>
      <c r="B111" s="4"/>
      <c r="C111" s="4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8.25" customHeight="1" x14ac:dyDescent="0.3">
      <c r="A112" s="4"/>
      <c r="B112" s="4"/>
      <c r="C112" s="4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8.25" customHeight="1" x14ac:dyDescent="0.3">
      <c r="A113" s="4"/>
      <c r="B113" s="4"/>
      <c r="C113" s="4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8.25" customHeight="1" x14ac:dyDescent="0.3">
      <c r="A114" s="4"/>
      <c r="B114" s="4"/>
      <c r="C114" s="4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8.25" customHeight="1" x14ac:dyDescent="0.3">
      <c r="A115" s="4"/>
      <c r="B115" s="4"/>
      <c r="C115" s="4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8.25" customHeight="1" x14ac:dyDescent="0.3">
      <c r="A116" s="4"/>
      <c r="B116" s="4"/>
      <c r="C116" s="4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8.25" customHeight="1" x14ac:dyDescent="0.3">
      <c r="A117" s="4"/>
      <c r="B117" s="4"/>
      <c r="C117" s="4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8.25" customHeight="1" x14ac:dyDescent="0.3">
      <c r="A118" s="4"/>
      <c r="B118" s="4"/>
      <c r="C118" s="4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8.25" customHeight="1" x14ac:dyDescent="0.3">
      <c r="A119" s="4"/>
      <c r="B119" s="4"/>
      <c r="C119" s="4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8.25" customHeight="1" x14ac:dyDescent="0.3">
      <c r="A120" s="4"/>
      <c r="B120" s="4"/>
      <c r="C120" s="4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8.25" customHeight="1" x14ac:dyDescent="0.3">
      <c r="A121" s="4"/>
      <c r="B121" s="4"/>
      <c r="C121" s="4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8.25" customHeight="1" x14ac:dyDescent="0.3">
      <c r="A122" s="4"/>
      <c r="B122" s="4"/>
      <c r="C122" s="4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8.25" customHeight="1" x14ac:dyDescent="0.3">
      <c r="A123" s="4"/>
      <c r="B123" s="4"/>
      <c r="C123" s="4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8.25" customHeight="1" x14ac:dyDescent="0.3">
      <c r="A124" s="4"/>
      <c r="B124" s="4"/>
      <c r="C124" s="4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8.25" customHeight="1" x14ac:dyDescent="0.3">
      <c r="A125" s="4"/>
      <c r="B125" s="4"/>
      <c r="C125" s="4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8.25" customHeight="1" x14ac:dyDescent="0.3">
      <c r="A126" s="4"/>
      <c r="B126" s="4"/>
      <c r="C126" s="4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8.25" customHeight="1" x14ac:dyDescent="0.3">
      <c r="A127" s="4"/>
      <c r="B127" s="4"/>
      <c r="C127" s="4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8.25" customHeight="1" x14ac:dyDescent="0.3">
      <c r="A128" s="4"/>
      <c r="B128" s="4"/>
      <c r="C128" s="4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8.25" customHeight="1" x14ac:dyDescent="0.3">
      <c r="A129" s="4"/>
      <c r="B129" s="4"/>
      <c r="C129" s="4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8.25" customHeight="1" x14ac:dyDescent="0.3">
      <c r="A130" s="4"/>
      <c r="B130" s="4"/>
      <c r="C130" s="4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8.25" customHeight="1" x14ac:dyDescent="0.3">
      <c r="A131" s="4"/>
      <c r="B131" s="4"/>
      <c r="C131" s="4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8.25" customHeight="1" x14ac:dyDescent="0.3">
      <c r="A132" s="4"/>
      <c r="B132" s="4"/>
      <c r="C132" s="4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8.25" customHeight="1" x14ac:dyDescent="0.3">
      <c r="A133" s="4"/>
      <c r="B133" s="4"/>
      <c r="C133" s="4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8.25" customHeight="1" x14ac:dyDescent="0.3">
      <c r="A134" s="4"/>
      <c r="B134" s="4"/>
      <c r="C134" s="4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8.25" customHeight="1" x14ac:dyDescent="0.3">
      <c r="A135" s="4"/>
      <c r="B135" s="4"/>
      <c r="C135" s="4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8.25" customHeight="1" x14ac:dyDescent="0.3">
      <c r="A136" s="4"/>
      <c r="B136" s="4"/>
      <c r="C136" s="4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8.25" customHeight="1" x14ac:dyDescent="0.3">
      <c r="A137" s="4"/>
      <c r="B137" s="4"/>
      <c r="C137" s="4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8.25" customHeight="1" x14ac:dyDescent="0.3">
      <c r="A138" s="4"/>
      <c r="B138" s="4"/>
      <c r="C138" s="4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8.25" customHeight="1" x14ac:dyDescent="0.3">
      <c r="A139" s="4"/>
      <c r="B139" s="4"/>
      <c r="C139" s="4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8.25" customHeight="1" x14ac:dyDescent="0.3">
      <c r="A140" s="4"/>
      <c r="B140" s="4"/>
      <c r="C140" s="4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8.25" customHeight="1" x14ac:dyDescent="0.3">
      <c r="A141" s="4"/>
      <c r="B141" s="4"/>
      <c r="C141" s="4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8.25" customHeight="1" x14ac:dyDescent="0.3">
      <c r="A142" s="4"/>
      <c r="B142" s="4"/>
      <c r="C142" s="4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8.25" customHeight="1" x14ac:dyDescent="0.3">
      <c r="A143" s="4"/>
      <c r="B143" s="4"/>
      <c r="C143" s="4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8.25" customHeight="1" x14ac:dyDescent="0.3">
      <c r="A144" s="4"/>
      <c r="B144" s="4"/>
      <c r="C144" s="4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8.25" customHeight="1" x14ac:dyDescent="0.3">
      <c r="A145" s="4"/>
      <c r="B145" s="4"/>
      <c r="C145" s="4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8.25" customHeight="1" x14ac:dyDescent="0.3">
      <c r="A146" s="4"/>
      <c r="B146" s="4"/>
      <c r="C146" s="4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8.25" customHeight="1" x14ac:dyDescent="0.3">
      <c r="A147" s="4"/>
      <c r="B147" s="4"/>
      <c r="C147" s="4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8.25" customHeight="1" x14ac:dyDescent="0.3">
      <c r="A148" s="4"/>
      <c r="B148" s="4"/>
      <c r="C148" s="4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8.25" customHeight="1" x14ac:dyDescent="0.3">
      <c r="A149" s="4"/>
      <c r="B149" s="4"/>
      <c r="C149" s="4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8.25" customHeight="1" x14ac:dyDescent="0.3">
      <c r="A150" s="4"/>
      <c r="B150" s="4"/>
      <c r="C150" s="4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8.25" customHeight="1" x14ac:dyDescent="0.3">
      <c r="A151" s="4"/>
      <c r="B151" s="4"/>
      <c r="C151" s="4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8.25" customHeight="1" x14ac:dyDescent="0.3">
      <c r="A152" s="4"/>
      <c r="B152" s="4"/>
      <c r="C152" s="4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8.25" customHeight="1" x14ac:dyDescent="0.3">
      <c r="A153" s="4"/>
      <c r="B153" s="4"/>
      <c r="C153" s="4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8.25" customHeight="1" x14ac:dyDescent="0.3">
      <c r="A154" s="4"/>
      <c r="B154" s="4"/>
      <c r="C154" s="4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8.25" customHeight="1" x14ac:dyDescent="0.3">
      <c r="A155" s="4"/>
      <c r="B155" s="4"/>
      <c r="C155" s="4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8.25" customHeight="1" x14ac:dyDescent="0.3">
      <c r="A156" s="4"/>
      <c r="B156" s="4"/>
      <c r="C156" s="4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8.25" customHeight="1" x14ac:dyDescent="0.3">
      <c r="A157" s="4"/>
      <c r="B157" s="4"/>
      <c r="C157" s="4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8.25" customHeight="1" x14ac:dyDescent="0.3">
      <c r="A158" s="4"/>
      <c r="B158" s="4"/>
      <c r="C158" s="4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8.25" customHeight="1" x14ac:dyDescent="0.3">
      <c r="A159" s="4"/>
      <c r="B159" s="4"/>
      <c r="C159" s="4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8.25" customHeight="1" x14ac:dyDescent="0.3">
      <c r="A160" s="4"/>
      <c r="B160" s="4"/>
      <c r="C160" s="4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8.25" customHeight="1" x14ac:dyDescent="0.3">
      <c r="A161" s="4"/>
      <c r="B161" s="4"/>
      <c r="C161" s="4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8.25" customHeight="1" x14ac:dyDescent="0.3">
      <c r="A162" s="4"/>
      <c r="B162" s="4"/>
      <c r="C162" s="4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8.25" customHeight="1" x14ac:dyDescent="0.3">
      <c r="A163" s="4"/>
      <c r="B163" s="4"/>
      <c r="C163" s="4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8.25" customHeight="1" x14ac:dyDescent="0.3">
      <c r="A164" s="4"/>
      <c r="B164" s="4"/>
      <c r="C164" s="4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8.25" customHeight="1" x14ac:dyDescent="0.3">
      <c r="A165" s="4"/>
      <c r="B165" s="4"/>
      <c r="C165" s="4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8.25" customHeight="1" x14ac:dyDescent="0.3">
      <c r="A166" s="4"/>
      <c r="B166" s="4"/>
      <c r="C166" s="4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8.25" customHeight="1" x14ac:dyDescent="0.3">
      <c r="A167" s="4"/>
      <c r="B167" s="4"/>
      <c r="C167" s="4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8.25" customHeight="1" x14ac:dyDescent="0.3">
      <c r="A168" s="4"/>
      <c r="B168" s="4"/>
      <c r="C168" s="4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8.25" customHeight="1" x14ac:dyDescent="0.3">
      <c r="A169" s="4"/>
      <c r="B169" s="4"/>
      <c r="C169" s="4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8.25" customHeight="1" x14ac:dyDescent="0.3">
      <c r="A170" s="4"/>
      <c r="B170" s="4"/>
      <c r="C170" s="4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8.25" customHeight="1" x14ac:dyDescent="0.3">
      <c r="A171" s="4"/>
      <c r="B171" s="4"/>
      <c r="C171" s="4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8.25" customHeight="1" x14ac:dyDescent="0.3">
      <c r="A172" s="4"/>
      <c r="B172" s="4"/>
      <c r="C172" s="4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8.25" customHeight="1" x14ac:dyDescent="0.3">
      <c r="A173" s="4"/>
      <c r="B173" s="4"/>
      <c r="C173" s="4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8.25" customHeight="1" x14ac:dyDescent="0.3">
      <c r="A174" s="4"/>
      <c r="B174" s="4"/>
      <c r="C174" s="4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8.25" customHeight="1" x14ac:dyDescent="0.3">
      <c r="A175" s="4"/>
      <c r="B175" s="4"/>
      <c r="C175" s="4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8.25" customHeight="1" x14ac:dyDescent="0.3">
      <c r="A176" s="4"/>
      <c r="B176" s="4"/>
      <c r="C176" s="4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8.25" customHeight="1" x14ac:dyDescent="0.3">
      <c r="A177" s="4"/>
      <c r="B177" s="4"/>
      <c r="C177" s="4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8.25" customHeight="1" x14ac:dyDescent="0.3">
      <c r="A178" s="4"/>
      <c r="B178" s="4"/>
      <c r="C178" s="4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8.25" customHeight="1" x14ac:dyDescent="0.3">
      <c r="A179" s="4"/>
      <c r="B179" s="4"/>
      <c r="C179" s="4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8.25" customHeight="1" x14ac:dyDescent="0.3">
      <c r="A180" s="4"/>
      <c r="B180" s="4"/>
      <c r="C180" s="4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8.25" customHeight="1" x14ac:dyDescent="0.3">
      <c r="A181" s="4"/>
      <c r="B181" s="4"/>
      <c r="C181" s="4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8.25" customHeight="1" x14ac:dyDescent="0.3">
      <c r="A182" s="4"/>
      <c r="B182" s="4"/>
      <c r="C182" s="4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8.25" customHeight="1" x14ac:dyDescent="0.3">
      <c r="A183" s="4"/>
      <c r="B183" s="4"/>
      <c r="C183" s="4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8.25" customHeight="1" x14ac:dyDescent="0.3">
      <c r="A184" s="4"/>
      <c r="B184" s="4"/>
      <c r="C184" s="4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8.25" customHeight="1" x14ac:dyDescent="0.3">
      <c r="A185" s="4"/>
      <c r="B185" s="4"/>
      <c r="C185" s="4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8.25" customHeight="1" x14ac:dyDescent="0.3">
      <c r="A186" s="4"/>
      <c r="B186" s="4"/>
      <c r="C186" s="4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8.25" customHeight="1" x14ac:dyDescent="0.3">
      <c r="A187" s="4"/>
      <c r="B187" s="4"/>
      <c r="C187" s="4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8.25" customHeight="1" x14ac:dyDescent="0.3">
      <c r="A188" s="4"/>
      <c r="B188" s="4"/>
      <c r="C188" s="4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8.25" customHeight="1" x14ac:dyDescent="0.3">
      <c r="A189" s="4"/>
      <c r="B189" s="4"/>
      <c r="C189" s="4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8.25" customHeight="1" x14ac:dyDescent="0.3">
      <c r="A190" s="4"/>
      <c r="B190" s="4"/>
      <c r="C190" s="4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8.25" customHeight="1" x14ac:dyDescent="0.3">
      <c r="A191" s="4"/>
      <c r="B191" s="4"/>
      <c r="C191" s="4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8.25" customHeight="1" x14ac:dyDescent="0.3">
      <c r="A192" s="4"/>
      <c r="B192" s="4"/>
      <c r="C192" s="4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8.25" customHeight="1" x14ac:dyDescent="0.3">
      <c r="A193" s="4"/>
      <c r="B193" s="4"/>
      <c r="C193" s="4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8.25" customHeight="1" x14ac:dyDescent="0.3">
      <c r="A194" s="4"/>
      <c r="B194" s="4"/>
      <c r="C194" s="4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8.25" customHeight="1" x14ac:dyDescent="0.3">
      <c r="A195" s="4"/>
      <c r="B195" s="4"/>
      <c r="C195" s="4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8.25" customHeight="1" x14ac:dyDescent="0.3">
      <c r="A196" s="4"/>
      <c r="B196" s="4"/>
      <c r="C196" s="4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8.25" customHeight="1" x14ac:dyDescent="0.3">
      <c r="A197" s="4"/>
      <c r="B197" s="4"/>
      <c r="C197" s="4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8.25" customHeight="1" x14ac:dyDescent="0.3">
      <c r="A198" s="4"/>
      <c r="B198" s="4"/>
      <c r="C198" s="4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8.25" customHeight="1" x14ac:dyDescent="0.3">
      <c r="A199" s="4"/>
      <c r="B199" s="4"/>
      <c r="C199" s="4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8.25" customHeight="1" x14ac:dyDescent="0.3">
      <c r="A200" s="4"/>
      <c r="B200" s="4"/>
      <c r="C200" s="4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8.25" customHeight="1" x14ac:dyDescent="0.3">
      <c r="A201" s="4"/>
      <c r="B201" s="4"/>
      <c r="C201" s="4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8.25" customHeight="1" x14ac:dyDescent="0.3">
      <c r="A202" s="4"/>
      <c r="B202" s="4"/>
      <c r="C202" s="4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8.25" customHeight="1" x14ac:dyDescent="0.3">
      <c r="A203" s="4"/>
      <c r="B203" s="4"/>
      <c r="C203" s="4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8.25" customHeight="1" x14ac:dyDescent="0.3">
      <c r="A204" s="4"/>
      <c r="B204" s="4"/>
      <c r="C204" s="4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8.25" customHeight="1" x14ac:dyDescent="0.3">
      <c r="A205" s="4"/>
      <c r="B205" s="4"/>
      <c r="C205" s="4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8.25" customHeight="1" x14ac:dyDescent="0.3">
      <c r="A206" s="4"/>
      <c r="B206" s="4"/>
      <c r="C206" s="4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8.25" customHeight="1" x14ac:dyDescent="0.3">
      <c r="A207" s="4"/>
      <c r="B207" s="4"/>
      <c r="C207" s="4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8.25" customHeight="1" x14ac:dyDescent="0.3">
      <c r="A208" s="4"/>
      <c r="B208" s="4"/>
      <c r="C208" s="4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8.25" customHeight="1" x14ac:dyDescent="0.3">
      <c r="A209" s="4"/>
      <c r="B209" s="4"/>
      <c r="C209" s="4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8.25" customHeight="1" x14ac:dyDescent="0.3">
      <c r="A210" s="4"/>
      <c r="B210" s="4"/>
      <c r="C210" s="4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8.25" customHeight="1" x14ac:dyDescent="0.3">
      <c r="A211" s="4"/>
      <c r="B211" s="4"/>
      <c r="C211" s="4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8.25" customHeight="1" x14ac:dyDescent="0.3">
      <c r="A212" s="4"/>
      <c r="B212" s="4"/>
      <c r="C212" s="4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8.25" customHeight="1" x14ac:dyDescent="0.3">
      <c r="A213" s="4"/>
      <c r="B213" s="4"/>
      <c r="C213" s="4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8.25" customHeight="1" x14ac:dyDescent="0.3">
      <c r="A214" s="4"/>
      <c r="B214" s="4"/>
      <c r="C214" s="4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8.25" customHeight="1" x14ac:dyDescent="0.3">
      <c r="A215" s="4"/>
      <c r="B215" s="4"/>
      <c r="C215" s="4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8.25" customHeight="1" x14ac:dyDescent="0.3">
      <c r="A216" s="4"/>
      <c r="B216" s="4"/>
      <c r="C216" s="4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8.25" customHeight="1" x14ac:dyDescent="0.3">
      <c r="A217" s="4"/>
      <c r="B217" s="4"/>
      <c r="C217" s="4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">
    <mergeCell ref="B11:D11"/>
    <mergeCell ref="B12:D12"/>
    <mergeCell ref="A2:G2"/>
    <mergeCell ref="A6:C6"/>
    <mergeCell ref="A9:C9"/>
    <mergeCell ref="F9:G9"/>
    <mergeCell ref="A10:B10"/>
    <mergeCell ref="C10:E10"/>
    <mergeCell ref="F10:G10"/>
  </mergeCells>
  <printOptions horizontalCentered="1"/>
  <pageMargins left="0.53" right="0.27559055118110198" top="0.65" bottom="0.15748031496063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91"/>
  <sheetViews>
    <sheetView workbookViewId="0">
      <selection activeCell="E13" sqref="E13"/>
    </sheetView>
  </sheetViews>
  <sheetFormatPr defaultColWidth="12.59765625" defaultRowHeight="15" customHeight="1" x14ac:dyDescent="0.25"/>
  <cols>
    <col min="1" max="1" width="4.8984375" bestFit="1" customWidth="1"/>
    <col min="2" max="2" width="11.3984375" bestFit="1" customWidth="1"/>
    <col min="3" max="3" width="18.19921875" bestFit="1" customWidth="1"/>
    <col min="4" max="4" width="15.296875" customWidth="1"/>
    <col min="5" max="5" width="17.8984375" bestFit="1" customWidth="1"/>
    <col min="6" max="6" width="12.5" customWidth="1"/>
    <col min="7" max="7" width="34.5" bestFit="1" customWidth="1"/>
    <col min="8" max="26" width="14.3984375" customWidth="1"/>
  </cols>
  <sheetData>
    <row r="2" spans="1:7" ht="14.4" x14ac:dyDescent="0.3">
      <c r="A2" s="32" t="s">
        <v>26</v>
      </c>
      <c r="B2" s="32" t="s">
        <v>27</v>
      </c>
      <c r="C2" s="32" t="s">
        <v>28</v>
      </c>
      <c r="D2" s="32" t="s">
        <v>29</v>
      </c>
      <c r="E2" s="32" t="s">
        <v>30</v>
      </c>
      <c r="F2" s="32" t="s">
        <v>31</v>
      </c>
      <c r="G2" s="32" t="s">
        <v>37</v>
      </c>
    </row>
    <row r="3" spans="1:7" ht="14.4" x14ac:dyDescent="0.3">
      <c r="A3" s="33">
        <v>1</v>
      </c>
      <c r="B3" s="33" t="s">
        <v>47</v>
      </c>
      <c r="C3" s="40">
        <v>50100704032944</v>
      </c>
      <c r="D3" s="41" t="s">
        <v>48</v>
      </c>
      <c r="E3" s="34" t="s">
        <v>49</v>
      </c>
      <c r="F3" s="34" t="s">
        <v>50</v>
      </c>
      <c r="G3" s="33" t="s">
        <v>51</v>
      </c>
    </row>
    <row r="4" spans="1:7" ht="15" customHeight="1" x14ac:dyDescent="0.25">
      <c r="A4" s="35"/>
      <c r="B4" s="36"/>
      <c r="C4" s="37"/>
      <c r="D4" s="36"/>
      <c r="E4" s="36"/>
      <c r="F4" s="36"/>
      <c r="G4" s="35"/>
    </row>
    <row r="5" spans="1:7" ht="13.8" x14ac:dyDescent="0.25">
      <c r="E5" s="23"/>
    </row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Count</vt:lpstr>
      <vt:lpstr>Payment details</vt:lpstr>
      <vt:lpstr>Bank details of faculties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 STAFF02</dc:creator>
  <cp:lastModifiedBy>user</cp:lastModifiedBy>
  <dcterms:created xsi:type="dcterms:W3CDTF">2020-05-04T04:28:35Z</dcterms:created>
  <dcterms:modified xsi:type="dcterms:W3CDTF">2025-11-03T08:50:49Z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C:\Users\sanji\Downloads\Priyavarthini-March 2024 (1).xlsx</vt:lpwstr>
  </property>
</Properties>
</file>